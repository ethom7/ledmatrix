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vanpthompson\Desktop\"/>
    </mc:Choice>
  </mc:AlternateContent>
  <bookViews>
    <workbookView xWindow="0" yWindow="0" windowWidth="20490" windowHeight="693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T6" i="1" l="1"/>
  <c r="BT7" i="1"/>
  <c r="BT8" i="1"/>
  <c r="BT9" i="1"/>
  <c r="BT10" i="1"/>
  <c r="BT11" i="1"/>
  <c r="BT12" i="1"/>
  <c r="BT13" i="1"/>
  <c r="BT14" i="1"/>
  <c r="BT15" i="1"/>
  <c r="BT16" i="1"/>
  <c r="BT17" i="1"/>
  <c r="BT18" i="1"/>
  <c r="BT19" i="1"/>
  <c r="BT20" i="1"/>
  <c r="BT21" i="1"/>
  <c r="BT22" i="1"/>
  <c r="BT23" i="1"/>
  <c r="BT24" i="1"/>
  <c r="BT25" i="1"/>
  <c r="BT26" i="1"/>
  <c r="BT27" i="1"/>
  <c r="BT28" i="1"/>
  <c r="BT29" i="1"/>
  <c r="BT30" i="1"/>
  <c r="BT31" i="1"/>
  <c r="BT32" i="1"/>
  <c r="BT33" i="1"/>
  <c r="BT34" i="1"/>
  <c r="BT35" i="1"/>
  <c r="BT36" i="1"/>
  <c r="BT37" i="1"/>
  <c r="BT38" i="1"/>
  <c r="BT39" i="1"/>
  <c r="BT40" i="1"/>
  <c r="BT41" i="1"/>
  <c r="BT42" i="1"/>
  <c r="BT43" i="1"/>
  <c r="BT44" i="1"/>
  <c r="BT45" i="1"/>
  <c r="BT46" i="1"/>
  <c r="BT47" i="1"/>
  <c r="BT48" i="1"/>
  <c r="BT49" i="1"/>
  <c r="BT50" i="1"/>
  <c r="BT51" i="1"/>
  <c r="BT52" i="1"/>
  <c r="BT53" i="1"/>
  <c r="BT54" i="1"/>
  <c r="BT55" i="1"/>
  <c r="BT56" i="1"/>
  <c r="BT57" i="1"/>
  <c r="BT58" i="1"/>
  <c r="BT59" i="1"/>
  <c r="BT60" i="1"/>
  <c r="BT61" i="1"/>
  <c r="BT62" i="1"/>
  <c r="BT63" i="1"/>
  <c r="BT64" i="1"/>
  <c r="BT65" i="1"/>
  <c r="BT66" i="1"/>
  <c r="BT67" i="1"/>
  <c r="BT68" i="1"/>
  <c r="BT5" i="1"/>
  <c r="BK9" i="1"/>
  <c r="BJ9" i="1"/>
  <c r="BI9" i="1"/>
  <c r="BP8" i="1"/>
  <c r="BO8" i="1"/>
  <c r="BN8" i="1"/>
  <c r="BM8" i="1"/>
  <c r="BL8" i="1"/>
  <c r="BK8" i="1"/>
  <c r="BJ8" i="1"/>
  <c r="BI8" i="1"/>
  <c r="BP15" i="1"/>
  <c r="BP14" i="1"/>
  <c r="BP13" i="1"/>
  <c r="BP12" i="1"/>
  <c r="BP11" i="1"/>
  <c r="BP9" i="1"/>
  <c r="BO15" i="1"/>
  <c r="BN15" i="1"/>
  <c r="BM15" i="1"/>
  <c r="BL15" i="1"/>
  <c r="BK15" i="1"/>
  <c r="BJ15" i="1"/>
  <c r="BI15" i="1"/>
  <c r="BO14" i="1"/>
  <c r="BN14" i="1"/>
  <c r="BM14" i="1"/>
  <c r="BL14" i="1"/>
  <c r="BK14" i="1"/>
  <c r="BJ14" i="1"/>
  <c r="BI14" i="1"/>
  <c r="BO13" i="1"/>
  <c r="BN13" i="1"/>
  <c r="BM13" i="1"/>
  <c r="BL13" i="1"/>
  <c r="BK13" i="1"/>
  <c r="BJ13" i="1"/>
  <c r="BI13" i="1"/>
  <c r="BO12" i="1"/>
  <c r="BN12" i="1"/>
  <c r="BM12" i="1"/>
  <c r="BL12" i="1"/>
  <c r="BK12" i="1"/>
  <c r="BJ12" i="1"/>
  <c r="BI12" i="1"/>
  <c r="BO11" i="1"/>
  <c r="BN11" i="1"/>
  <c r="BM11" i="1"/>
  <c r="BL11" i="1"/>
  <c r="BP10" i="1"/>
  <c r="BO10" i="1"/>
  <c r="BK11" i="1"/>
  <c r="BJ11" i="1"/>
  <c r="BI11" i="1"/>
  <c r="BN10" i="1"/>
  <c r="BM10" i="1"/>
  <c r="BL10" i="1"/>
  <c r="BK10" i="1"/>
  <c r="BJ10" i="1"/>
  <c r="BI10" i="1"/>
  <c r="BO9" i="1"/>
  <c r="BN9" i="1"/>
  <c r="BM9" i="1"/>
  <c r="BL9" i="1"/>
  <c r="AW10" i="1"/>
  <c r="AX10" i="1"/>
  <c r="AY10" i="1"/>
  <c r="AZ10" i="1"/>
  <c r="BA10" i="1"/>
  <c r="BB10" i="1"/>
  <c r="BC10" i="1"/>
  <c r="BD10" i="1"/>
  <c r="AW11" i="1"/>
  <c r="AX11" i="1"/>
  <c r="AY11" i="1"/>
  <c r="AZ11" i="1"/>
  <c r="BA11" i="1"/>
  <c r="BB11" i="1"/>
  <c r="BC11" i="1"/>
  <c r="BD11" i="1"/>
  <c r="AW12" i="1"/>
  <c r="AX12" i="1"/>
  <c r="AY12" i="1"/>
  <c r="AZ12" i="1"/>
  <c r="BA12" i="1"/>
  <c r="BB12" i="1"/>
  <c r="BC12" i="1"/>
  <c r="BD12" i="1"/>
  <c r="AW13" i="1"/>
  <c r="AX13" i="1"/>
  <c r="AY13" i="1"/>
  <c r="AZ13" i="1"/>
  <c r="BA13" i="1"/>
  <c r="BB13" i="1"/>
  <c r="BC13" i="1"/>
  <c r="BD13" i="1"/>
  <c r="AW14" i="1"/>
  <c r="AX14" i="1"/>
  <c r="AY14" i="1"/>
  <c r="AZ14" i="1"/>
  <c r="BA14" i="1"/>
  <c r="BB14" i="1"/>
  <c r="BC14" i="1"/>
  <c r="BD14" i="1"/>
  <c r="AW15" i="1"/>
  <c r="AX15" i="1"/>
  <c r="AY15" i="1"/>
  <c r="AZ15" i="1"/>
  <c r="BA15" i="1"/>
  <c r="BB15" i="1"/>
  <c r="BC15" i="1"/>
  <c r="BD15" i="1"/>
  <c r="AX9" i="1"/>
  <c r="AY9" i="1"/>
  <c r="AZ9" i="1"/>
  <c r="BA9" i="1"/>
  <c r="BB9" i="1"/>
  <c r="BC9" i="1"/>
  <c r="BD9" i="1"/>
  <c r="AW9" i="1"/>
  <c r="AX8" i="1"/>
  <c r="AY8" i="1"/>
  <c r="AZ8" i="1"/>
  <c r="BA8" i="1"/>
  <c r="BB8" i="1"/>
  <c r="BC8" i="1"/>
  <c r="BD8" i="1"/>
  <c r="AW8" i="1"/>
  <c r="J17" i="1"/>
  <c r="I17" i="1"/>
  <c r="H17" i="1"/>
  <c r="G17" i="1"/>
  <c r="F17" i="1"/>
  <c r="E17" i="1"/>
  <c r="D17" i="1"/>
  <c r="C17" i="1"/>
  <c r="C16" i="1"/>
  <c r="D16" i="1"/>
  <c r="E16" i="1"/>
  <c r="F16" i="1"/>
  <c r="J22" i="1"/>
  <c r="I22" i="1"/>
  <c r="H22" i="1"/>
  <c r="G22" i="1"/>
  <c r="F22" i="1"/>
  <c r="E22" i="1"/>
  <c r="D22" i="1"/>
  <c r="C22" i="1"/>
  <c r="J21" i="1"/>
  <c r="I21" i="1"/>
  <c r="H21" i="1"/>
  <c r="G21" i="1"/>
  <c r="F21" i="1"/>
  <c r="E21" i="1"/>
  <c r="D21" i="1"/>
  <c r="C21" i="1"/>
  <c r="J20" i="1"/>
  <c r="I20" i="1"/>
  <c r="H20" i="1"/>
  <c r="G20" i="1"/>
  <c r="F20" i="1"/>
  <c r="E20" i="1"/>
  <c r="D20" i="1"/>
  <c r="C20" i="1"/>
  <c r="J19" i="1"/>
  <c r="I19" i="1"/>
  <c r="H19" i="1"/>
  <c r="G19" i="1"/>
  <c r="F19" i="1"/>
  <c r="E19" i="1"/>
  <c r="D19" i="1"/>
  <c r="C19" i="1"/>
  <c r="J18" i="1"/>
  <c r="I18" i="1"/>
  <c r="H18" i="1"/>
  <c r="G18" i="1"/>
  <c r="F18" i="1"/>
  <c r="E18" i="1"/>
  <c r="D18" i="1"/>
  <c r="C18" i="1"/>
  <c r="J16" i="1"/>
  <c r="I16" i="1"/>
  <c r="H16" i="1"/>
  <c r="G16" i="1"/>
  <c r="J15" i="1"/>
  <c r="I15" i="1"/>
  <c r="H15" i="1"/>
  <c r="G15" i="1"/>
  <c r="F15" i="1"/>
  <c r="E15" i="1"/>
  <c r="D15" i="1"/>
  <c r="C15" i="1"/>
  <c r="BT69" i="1" l="1"/>
  <c r="BF15" i="1"/>
  <c r="BF14" i="1"/>
  <c r="BF13" i="1"/>
  <c r="BF12" i="1"/>
  <c r="BF11" i="1"/>
  <c r="BF10" i="1"/>
  <c r="BF9" i="1"/>
  <c r="BF8" i="1"/>
</calcChain>
</file>

<file path=xl/sharedStrings.xml><?xml version="1.0" encoding="utf-8"?>
<sst xmlns="http://schemas.openxmlformats.org/spreadsheetml/2006/main" count="240" uniqueCount="183">
  <si>
    <t>Row</t>
  </si>
  <si>
    <t>Col</t>
  </si>
  <si>
    <t>LED MATRIX</t>
  </si>
  <si>
    <t>PIN OUTS</t>
  </si>
  <si>
    <t>COL</t>
  </si>
  <si>
    <t>ROW</t>
  </si>
  <si>
    <t>TOP</t>
  </si>
  <si>
    <t>BOTTOM</t>
  </si>
  <si>
    <t>ROW,COL</t>
  </si>
  <si>
    <t>9,13</t>
  </si>
  <si>
    <t>9,3</t>
  </si>
  <si>
    <t>9,4</t>
  </si>
  <si>
    <t>9,10</t>
  </si>
  <si>
    <t>9,6</t>
  </si>
  <si>
    <t>9,11</t>
  </si>
  <si>
    <t>9,15</t>
  </si>
  <si>
    <t>9,16</t>
  </si>
  <si>
    <t>14,13</t>
  </si>
  <si>
    <t>14,3</t>
  </si>
  <si>
    <t>14,4</t>
  </si>
  <si>
    <t>14,10</t>
  </si>
  <si>
    <t>14,6</t>
  </si>
  <si>
    <t>14,11</t>
  </si>
  <si>
    <t>14,15</t>
  </si>
  <si>
    <t>14,16</t>
  </si>
  <si>
    <t>12,13</t>
  </si>
  <si>
    <t>12,3</t>
  </si>
  <si>
    <t>12,4</t>
  </si>
  <si>
    <t>12,10</t>
  </si>
  <si>
    <t>12,6</t>
  </si>
  <si>
    <t>12,11</t>
  </si>
  <si>
    <t>12,15</t>
  </si>
  <si>
    <t>12,16</t>
  </si>
  <si>
    <t>1,13</t>
  </si>
  <si>
    <t>1,3</t>
  </si>
  <si>
    <t>1,4</t>
  </si>
  <si>
    <t>1,10</t>
  </si>
  <si>
    <t>1,6</t>
  </si>
  <si>
    <t>1,11</t>
  </si>
  <si>
    <t>1,15</t>
  </si>
  <si>
    <t>1,16</t>
  </si>
  <si>
    <t>7,13</t>
  </si>
  <si>
    <t>7,3</t>
  </si>
  <si>
    <t>7,4</t>
  </si>
  <si>
    <t>7,10</t>
  </si>
  <si>
    <t>7,6</t>
  </si>
  <si>
    <t>7,11</t>
  </si>
  <si>
    <t>7,15</t>
  </si>
  <si>
    <t>7,16</t>
  </si>
  <si>
    <t>2,13</t>
  </si>
  <si>
    <t>2,3</t>
  </si>
  <si>
    <t>2,4</t>
  </si>
  <si>
    <t>2,10</t>
  </si>
  <si>
    <t>2,6</t>
  </si>
  <si>
    <t>2,11</t>
  </si>
  <si>
    <t>2,15</t>
  </si>
  <si>
    <t>2,16</t>
  </si>
  <si>
    <t>5,13</t>
  </si>
  <si>
    <t>5,3</t>
  </si>
  <si>
    <t>5,4</t>
  </si>
  <si>
    <t>5,10</t>
  </si>
  <si>
    <t>5,6</t>
  </si>
  <si>
    <t>5,11</t>
  </si>
  <si>
    <t>5,15</t>
  </si>
  <si>
    <t>5,16</t>
  </si>
  <si>
    <t>XOR</t>
  </si>
  <si>
    <t>A</t>
  </si>
  <si>
    <t>B</t>
  </si>
  <si>
    <t>8,13</t>
  </si>
  <si>
    <t>8,3</t>
  </si>
  <si>
    <t>8,4</t>
  </si>
  <si>
    <t>8,10</t>
  </si>
  <si>
    <t>8,6</t>
  </si>
  <si>
    <t>8,11</t>
  </si>
  <si>
    <t>8,15</t>
  </si>
  <si>
    <t>8,16</t>
  </si>
  <si>
    <t>HOW TO</t>
  </si>
  <si>
    <t>All ROWS</t>
  </si>
  <si>
    <t>ALL COLS</t>
  </si>
  <si>
    <t>CHECKER BOARD</t>
  </si>
  <si>
    <t>ALT CHECKER BOARD</t>
  </si>
  <si>
    <t>ALT ALTERNATING ROWS</t>
  </si>
  <si>
    <t>ALTERNATING ROWS</t>
  </si>
  <si>
    <t>ALTERNATING COLS</t>
  </si>
  <si>
    <t>ALT ALTERNATING COLS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</si>
  <si>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</si>
  <si>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</si>
  <si>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</si>
  <si>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</si>
  <si>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</si>
  <si>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</si>
  <si>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</si>
  <si>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</si>
  <si>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</si>
  <si>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</si>
  <si>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</si>
  <si>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</si>
  <si>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</si>
  <si>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</si>
  <si>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</si>
  <si>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</si>
  <si>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</si>
  <si>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</si>
  <si>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</si>
  <si>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</si>
  <si>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</si>
  <si>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</si>
  <si>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</si>
  <si>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</si>
  <si>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6F99 F999</t>
  </si>
  <si>
    <t>E99E 999E</t>
  </si>
  <si>
    <t>7888 8887</t>
  </si>
  <si>
    <t>E999 999E</t>
  </si>
  <si>
    <t>F88E 888F</t>
  </si>
  <si>
    <t>F88E 8888</t>
  </si>
  <si>
    <t>7888 9997</t>
  </si>
  <si>
    <t>999F 9999</t>
  </si>
  <si>
    <t>E444 444E</t>
  </si>
  <si>
    <t>7111 1152</t>
  </si>
  <si>
    <t>AAAC EAAA</t>
  </si>
  <si>
    <t>8888 888F</t>
  </si>
  <si>
    <t>9F99 9999</t>
  </si>
  <si>
    <t>E999 9999</t>
  </si>
  <si>
    <t>6999 9996</t>
  </si>
  <si>
    <t>E99E 8888</t>
  </si>
  <si>
    <t>4AAA AAA6</t>
  </si>
  <si>
    <t>E99E 9999</t>
  </si>
  <si>
    <t>7886 111E</t>
  </si>
  <si>
    <t>E444 4444</t>
  </si>
  <si>
    <t>9999 9997</t>
  </si>
  <si>
    <t>9999 9966</t>
  </si>
  <si>
    <t>9999 99F9</t>
  </si>
  <si>
    <t>9996 9999</t>
  </si>
  <si>
    <t>AAA4 4444</t>
  </si>
  <si>
    <t>F126 648F</t>
  </si>
  <si>
    <t>F999 999F</t>
  </si>
  <si>
    <t>1111 1111</t>
  </si>
  <si>
    <t>F11F 888F</t>
  </si>
  <si>
    <t>F11F 111F</t>
  </si>
  <si>
    <t>999F 1111</t>
  </si>
  <si>
    <t>F88F 111F</t>
  </si>
  <si>
    <t>F88F 999F</t>
  </si>
  <si>
    <t>F111 1111</t>
  </si>
  <si>
    <t>F99F 999F</t>
  </si>
  <si>
    <t>F99F 111F</t>
  </si>
  <si>
    <t>HEX</t>
  </si>
  <si>
    <t>AXORB</t>
  </si>
  <si>
    <t>PIN OUT DISPLAY PANEL</t>
  </si>
  <si>
    <t>PIN CONTROL</t>
  </si>
  <si>
    <t>PINS ON</t>
  </si>
  <si>
    <t>DISPLAY</t>
  </si>
  <si>
    <t>ALPHA-NUMERIC VECTOR</t>
  </si>
  <si>
    <t>ROW CONTROL</t>
  </si>
  <si>
    <t>COL CONTROL</t>
  </si>
  <si>
    <t>MATRIX CANVAS</t>
  </si>
  <si>
    <t>CANVAS DISPLAY</t>
  </si>
  <si>
    <t>ROW NUM</t>
  </si>
  <si>
    <t>PIN</t>
  </si>
  <si>
    <t>POSITION</t>
  </si>
  <si>
    <t>PIN FACTOR</t>
  </si>
  <si>
    <t>LOCATION</t>
  </si>
  <si>
    <t>PF*PF * LOC</t>
  </si>
  <si>
    <t>UNIQUE</t>
  </si>
  <si>
    <t>WiringPi</t>
  </si>
  <si>
    <t>Rpi Pinout</t>
  </si>
  <si>
    <t>BCM 17</t>
  </si>
  <si>
    <t>BCM 18</t>
  </si>
  <si>
    <t>BCM 27</t>
  </si>
  <si>
    <t>BCM 22</t>
  </si>
  <si>
    <t>BCM 23</t>
  </si>
  <si>
    <t>BCM 24</t>
  </si>
  <si>
    <t>BCM 25</t>
  </si>
  <si>
    <t>BCM 4</t>
  </si>
  <si>
    <t>BCM 2</t>
  </si>
  <si>
    <t>BCM 3</t>
  </si>
  <si>
    <t>BCM 8</t>
  </si>
  <si>
    <t>BCM 7</t>
  </si>
  <si>
    <t>BCM 9</t>
  </si>
  <si>
    <t>BCM 11</t>
  </si>
  <si>
    <t>BCM 14</t>
  </si>
  <si>
    <t>Rpi PIN</t>
  </si>
  <si>
    <t>LED PIN</t>
  </si>
  <si>
    <t>BCM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</si>
</sst>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0" fillId="0" borderId="16" xfId="0" applyBorder="1"/>
    <xf numFmtId="0" fontId="0" fillId="0" borderId="11" xfId="0" applyBorder="1"/>
    <xf numFmtId="0" fontId="0" fillId="0" borderId="17" xfId="0" applyBorder="1"/>
    <xf numFmtId="0" fontId="0" fillId="0" borderId="15" xfId="0" applyBorder="1"/>
    <xf numFmtId="0" fontId="0" fillId="0" borderId="12" xfId="0" applyBorder="1"/>
    <xf numFmtId="0" fontId="0" fillId="0" borderId="13" xfId="0" applyBorder="1"/>
    <xf numFmtId="0" fontId="0" fillId="0" borderId="10" xfId="0" applyBorder="1"/>
    <xf numFmtId="0" fontId="0" fillId="0" borderId="14" xfId="0" applyBorder="1"/>
    <xf numFmtId="0" fontId="0" fillId="3" borderId="16" xfId="0" applyFill="1" applyBorder="1"/>
    <xf numFmtId="0" fontId="0" fillId="3" borderId="11" xfId="0" applyFill="1" applyBorder="1"/>
    <xf numFmtId="0" fontId="0" fillId="3" borderId="17" xfId="0" applyFill="1" applyBorder="1"/>
    <xf numFmtId="0" fontId="0" fillId="3" borderId="15" xfId="0" applyFill="1" applyBorder="1"/>
    <xf numFmtId="0" fontId="0" fillId="3" borderId="0" xfId="0" applyFill="1" applyBorder="1"/>
    <xf numFmtId="0" fontId="0" fillId="3" borderId="12" xfId="0" applyFill="1" applyBorder="1"/>
    <xf numFmtId="0" fontId="0" fillId="3" borderId="13" xfId="0" applyFill="1" applyBorder="1"/>
    <xf numFmtId="0" fontId="0" fillId="3" borderId="10" xfId="0" applyFill="1" applyBorder="1"/>
    <xf numFmtId="0" fontId="0" fillId="3" borderId="14" xfId="0" applyFill="1" applyBorder="1"/>
    <xf numFmtId="0" fontId="0" fillId="4" borderId="11" xfId="0" applyFill="1" applyBorder="1"/>
    <xf numFmtId="0" fontId="0" fillId="4" borderId="15" xfId="0" applyFill="1" applyBorder="1"/>
    <xf numFmtId="0" fontId="0" fillId="4" borderId="0" xfId="0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14" xfId="0" applyFill="1" applyBorder="1"/>
    <xf numFmtId="0" fontId="0" fillId="0" borderId="0" xfId="0" applyFill="1"/>
    <xf numFmtId="0" fontId="0" fillId="0" borderId="16" xfId="0" applyFill="1" applyBorder="1"/>
    <xf numFmtId="0" fontId="0" fillId="0" borderId="17" xfId="0" applyFill="1" applyBorder="1"/>
    <xf numFmtId="0" fontId="0" fillId="0" borderId="0" xfId="0" applyFill="1" applyBorder="1"/>
    <xf numFmtId="0" fontId="0" fillId="0" borderId="12" xfId="0" applyFill="1" applyBorder="1"/>
    <xf numFmtId="0" fontId="0" fillId="0" borderId="14" xfId="0" applyFill="1" applyBorder="1"/>
    <xf numFmtId="0" fontId="0" fillId="0" borderId="13" xfId="0" applyFill="1" applyBorder="1"/>
    <xf numFmtId="0" fontId="0" fillId="0" borderId="10" xfId="0" applyFill="1" applyBorder="1"/>
    <xf numFmtId="0" fontId="0" fillId="0" borderId="15" xfId="0" applyFill="1" applyBorder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49" fontId="1" fillId="0" borderId="12" xfId="0" applyNumberFormat="1" applyFont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10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0" fontId="1" fillId="0" borderId="10" xfId="0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18" xfId="0" applyFont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0" fillId="0" borderId="20" xfId="0" applyFont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0" fontId="0" fillId="0" borderId="22" xfId="0" applyFont="1" applyBorder="1" applyAlignment="1">
      <alignment horizontal="center" vertical="center"/>
    </xf>
    <xf numFmtId="0" fontId="0" fillId="0" borderId="23" xfId="0" applyFont="1" applyBorder="1" applyAlignment="1">
      <alignment horizontal="center" vertical="center"/>
    </xf>
    <xf numFmtId="0" fontId="0" fillId="0" borderId="24" xfId="0" applyFont="1" applyBorder="1" applyAlignment="1">
      <alignment horizontal="center" vertical="center"/>
    </xf>
    <xf numFmtId="0" fontId="0" fillId="0" borderId="25" xfId="0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5" fillId="0" borderId="0" xfId="0" applyFont="1"/>
    <xf numFmtId="0" fontId="5" fillId="0" borderId="0" xfId="0" applyFont="1" applyAlignment="1">
      <alignment horizontal="center"/>
    </xf>
  </cellXfs>
  <cellStyles count="1">
    <cellStyle name="Normal" xfId="0" builtinId="0"/>
  </cellStyles>
  <dxfs count="8">
    <dxf>
      <fill>
        <patternFill>
          <bgColor rgb="FFFF0000"/>
        </patternFill>
      </fill>
    </dxf>
    <dxf>
      <fill>
        <patternFill>
          <bgColor theme="1" tint="0.24994659260841701"/>
        </patternFill>
      </fill>
    </dxf>
    <dxf>
      <fill>
        <patternFill>
          <bgColor theme="3" tint="0.59996337778862885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68.emf"/><Relationship Id="rId18" Type="http://schemas.openxmlformats.org/officeDocument/2006/relationships/image" Target="../media/image63.emf"/><Relationship Id="rId26" Type="http://schemas.openxmlformats.org/officeDocument/2006/relationships/image" Target="../media/image55.emf"/><Relationship Id="rId39" Type="http://schemas.openxmlformats.org/officeDocument/2006/relationships/image" Target="../media/image42.emf"/><Relationship Id="rId21" Type="http://schemas.openxmlformats.org/officeDocument/2006/relationships/image" Target="../media/image60.emf"/><Relationship Id="rId34" Type="http://schemas.openxmlformats.org/officeDocument/2006/relationships/image" Target="../media/image47.emf"/><Relationship Id="rId42" Type="http://schemas.openxmlformats.org/officeDocument/2006/relationships/image" Target="../media/image39.emf"/><Relationship Id="rId47" Type="http://schemas.openxmlformats.org/officeDocument/2006/relationships/image" Target="../media/image34.emf"/><Relationship Id="rId50" Type="http://schemas.openxmlformats.org/officeDocument/2006/relationships/image" Target="../media/image31.emf"/><Relationship Id="rId55" Type="http://schemas.openxmlformats.org/officeDocument/2006/relationships/image" Target="../media/image26.emf"/><Relationship Id="rId63" Type="http://schemas.openxmlformats.org/officeDocument/2006/relationships/image" Target="../media/image18.emf"/><Relationship Id="rId68" Type="http://schemas.openxmlformats.org/officeDocument/2006/relationships/image" Target="../media/image13.emf"/><Relationship Id="rId76" Type="http://schemas.openxmlformats.org/officeDocument/2006/relationships/image" Target="../media/image5.emf"/><Relationship Id="rId7" Type="http://schemas.openxmlformats.org/officeDocument/2006/relationships/image" Target="../media/image74.emf"/><Relationship Id="rId71" Type="http://schemas.openxmlformats.org/officeDocument/2006/relationships/image" Target="../media/image10.emf"/><Relationship Id="rId2" Type="http://schemas.openxmlformats.org/officeDocument/2006/relationships/image" Target="../media/image79.emf"/><Relationship Id="rId16" Type="http://schemas.openxmlformats.org/officeDocument/2006/relationships/image" Target="../media/image65.emf"/><Relationship Id="rId29" Type="http://schemas.openxmlformats.org/officeDocument/2006/relationships/image" Target="../media/image52.emf"/><Relationship Id="rId11" Type="http://schemas.openxmlformats.org/officeDocument/2006/relationships/image" Target="../media/image70.emf"/><Relationship Id="rId24" Type="http://schemas.openxmlformats.org/officeDocument/2006/relationships/image" Target="../media/image57.emf"/><Relationship Id="rId32" Type="http://schemas.openxmlformats.org/officeDocument/2006/relationships/image" Target="../media/image49.emf"/><Relationship Id="rId37" Type="http://schemas.openxmlformats.org/officeDocument/2006/relationships/image" Target="../media/image44.emf"/><Relationship Id="rId40" Type="http://schemas.openxmlformats.org/officeDocument/2006/relationships/image" Target="../media/image41.emf"/><Relationship Id="rId45" Type="http://schemas.openxmlformats.org/officeDocument/2006/relationships/image" Target="../media/image36.emf"/><Relationship Id="rId53" Type="http://schemas.openxmlformats.org/officeDocument/2006/relationships/image" Target="../media/image28.emf"/><Relationship Id="rId58" Type="http://schemas.openxmlformats.org/officeDocument/2006/relationships/image" Target="../media/image23.emf"/><Relationship Id="rId66" Type="http://schemas.openxmlformats.org/officeDocument/2006/relationships/image" Target="../media/image15.emf"/><Relationship Id="rId74" Type="http://schemas.openxmlformats.org/officeDocument/2006/relationships/image" Target="../media/image7.emf"/><Relationship Id="rId79" Type="http://schemas.openxmlformats.org/officeDocument/2006/relationships/image" Target="../media/image2.emf"/><Relationship Id="rId5" Type="http://schemas.openxmlformats.org/officeDocument/2006/relationships/image" Target="../media/image76.emf"/><Relationship Id="rId61" Type="http://schemas.openxmlformats.org/officeDocument/2006/relationships/image" Target="../media/image20.emf"/><Relationship Id="rId10" Type="http://schemas.openxmlformats.org/officeDocument/2006/relationships/image" Target="../media/image71.emf"/><Relationship Id="rId19" Type="http://schemas.openxmlformats.org/officeDocument/2006/relationships/image" Target="../media/image62.emf"/><Relationship Id="rId31" Type="http://schemas.openxmlformats.org/officeDocument/2006/relationships/image" Target="../media/image50.emf"/><Relationship Id="rId44" Type="http://schemas.openxmlformats.org/officeDocument/2006/relationships/image" Target="../media/image37.emf"/><Relationship Id="rId52" Type="http://schemas.openxmlformats.org/officeDocument/2006/relationships/image" Target="../media/image29.emf"/><Relationship Id="rId60" Type="http://schemas.openxmlformats.org/officeDocument/2006/relationships/image" Target="../media/image21.emf"/><Relationship Id="rId65" Type="http://schemas.openxmlformats.org/officeDocument/2006/relationships/image" Target="../media/image16.emf"/><Relationship Id="rId73" Type="http://schemas.openxmlformats.org/officeDocument/2006/relationships/image" Target="../media/image8.emf"/><Relationship Id="rId78" Type="http://schemas.openxmlformats.org/officeDocument/2006/relationships/image" Target="../media/image3.emf"/><Relationship Id="rId4" Type="http://schemas.openxmlformats.org/officeDocument/2006/relationships/image" Target="../media/image77.emf"/><Relationship Id="rId9" Type="http://schemas.openxmlformats.org/officeDocument/2006/relationships/image" Target="../media/image72.emf"/><Relationship Id="rId14" Type="http://schemas.openxmlformats.org/officeDocument/2006/relationships/image" Target="../media/image67.emf"/><Relationship Id="rId22" Type="http://schemas.openxmlformats.org/officeDocument/2006/relationships/image" Target="../media/image59.emf"/><Relationship Id="rId27" Type="http://schemas.openxmlformats.org/officeDocument/2006/relationships/image" Target="../media/image54.emf"/><Relationship Id="rId30" Type="http://schemas.openxmlformats.org/officeDocument/2006/relationships/image" Target="../media/image51.emf"/><Relationship Id="rId35" Type="http://schemas.openxmlformats.org/officeDocument/2006/relationships/image" Target="../media/image46.emf"/><Relationship Id="rId43" Type="http://schemas.openxmlformats.org/officeDocument/2006/relationships/image" Target="../media/image38.emf"/><Relationship Id="rId48" Type="http://schemas.openxmlformats.org/officeDocument/2006/relationships/image" Target="../media/image33.emf"/><Relationship Id="rId56" Type="http://schemas.openxmlformats.org/officeDocument/2006/relationships/image" Target="../media/image25.emf"/><Relationship Id="rId64" Type="http://schemas.openxmlformats.org/officeDocument/2006/relationships/image" Target="../media/image17.emf"/><Relationship Id="rId69" Type="http://schemas.openxmlformats.org/officeDocument/2006/relationships/image" Target="../media/image12.emf"/><Relationship Id="rId77" Type="http://schemas.openxmlformats.org/officeDocument/2006/relationships/image" Target="../media/image4.emf"/><Relationship Id="rId8" Type="http://schemas.openxmlformats.org/officeDocument/2006/relationships/image" Target="../media/image73.emf"/><Relationship Id="rId51" Type="http://schemas.openxmlformats.org/officeDocument/2006/relationships/image" Target="../media/image30.emf"/><Relationship Id="rId72" Type="http://schemas.openxmlformats.org/officeDocument/2006/relationships/image" Target="../media/image9.emf"/><Relationship Id="rId80" Type="http://schemas.openxmlformats.org/officeDocument/2006/relationships/image" Target="../media/image1.emf"/><Relationship Id="rId3" Type="http://schemas.openxmlformats.org/officeDocument/2006/relationships/image" Target="../media/image78.emf"/><Relationship Id="rId12" Type="http://schemas.openxmlformats.org/officeDocument/2006/relationships/image" Target="../media/image69.emf"/><Relationship Id="rId17" Type="http://schemas.openxmlformats.org/officeDocument/2006/relationships/image" Target="../media/image64.emf"/><Relationship Id="rId25" Type="http://schemas.openxmlformats.org/officeDocument/2006/relationships/image" Target="../media/image56.emf"/><Relationship Id="rId33" Type="http://schemas.openxmlformats.org/officeDocument/2006/relationships/image" Target="../media/image48.emf"/><Relationship Id="rId38" Type="http://schemas.openxmlformats.org/officeDocument/2006/relationships/image" Target="../media/image43.emf"/><Relationship Id="rId46" Type="http://schemas.openxmlformats.org/officeDocument/2006/relationships/image" Target="../media/image35.emf"/><Relationship Id="rId59" Type="http://schemas.openxmlformats.org/officeDocument/2006/relationships/image" Target="../media/image22.emf"/><Relationship Id="rId67" Type="http://schemas.openxmlformats.org/officeDocument/2006/relationships/image" Target="../media/image14.emf"/><Relationship Id="rId20" Type="http://schemas.openxmlformats.org/officeDocument/2006/relationships/image" Target="../media/image61.emf"/><Relationship Id="rId41" Type="http://schemas.openxmlformats.org/officeDocument/2006/relationships/image" Target="../media/image40.emf"/><Relationship Id="rId54" Type="http://schemas.openxmlformats.org/officeDocument/2006/relationships/image" Target="../media/image27.emf"/><Relationship Id="rId62" Type="http://schemas.openxmlformats.org/officeDocument/2006/relationships/image" Target="../media/image19.emf"/><Relationship Id="rId70" Type="http://schemas.openxmlformats.org/officeDocument/2006/relationships/image" Target="../media/image11.emf"/><Relationship Id="rId75" Type="http://schemas.openxmlformats.org/officeDocument/2006/relationships/image" Target="../media/image6.emf"/><Relationship Id="rId1" Type="http://schemas.openxmlformats.org/officeDocument/2006/relationships/image" Target="../media/image80.emf"/><Relationship Id="rId6" Type="http://schemas.openxmlformats.org/officeDocument/2006/relationships/image" Target="../media/image75.emf"/><Relationship Id="rId15" Type="http://schemas.openxmlformats.org/officeDocument/2006/relationships/image" Target="../media/image66.emf"/><Relationship Id="rId23" Type="http://schemas.openxmlformats.org/officeDocument/2006/relationships/image" Target="../media/image58.emf"/><Relationship Id="rId28" Type="http://schemas.openxmlformats.org/officeDocument/2006/relationships/image" Target="../media/image53.emf"/><Relationship Id="rId36" Type="http://schemas.openxmlformats.org/officeDocument/2006/relationships/image" Target="../media/image45.emf"/><Relationship Id="rId49" Type="http://schemas.openxmlformats.org/officeDocument/2006/relationships/image" Target="../media/image32.emf"/><Relationship Id="rId57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15</xdr:row>
          <xdr:rowOff>9525</xdr:rowOff>
        </xdr:from>
        <xdr:to>
          <xdr:col>14</xdr:col>
          <xdr:colOff>9525</xdr:colOff>
          <xdr:row>16</xdr:row>
          <xdr:rowOff>0</xdr:rowOff>
        </xdr:to>
        <xdr:sp macro="" textlink="">
          <xdr:nvSpPr>
            <xdr:cNvPr id="1041" name="PIN16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</xdr:row>
          <xdr:rowOff>9525</xdr:rowOff>
        </xdr:from>
        <xdr:to>
          <xdr:col>14</xdr:col>
          <xdr:colOff>600075</xdr:colOff>
          <xdr:row>16</xdr:row>
          <xdr:rowOff>0</xdr:rowOff>
        </xdr:to>
        <xdr:sp macro="" textlink="">
          <xdr:nvSpPr>
            <xdr:cNvPr id="1042" name="PIN15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15</xdr:row>
          <xdr:rowOff>9525</xdr:rowOff>
        </xdr:from>
        <xdr:to>
          <xdr:col>16</xdr:col>
          <xdr:colOff>0</xdr:colOff>
          <xdr:row>16</xdr:row>
          <xdr:rowOff>0</xdr:rowOff>
        </xdr:to>
        <xdr:sp macro="" textlink="">
          <xdr:nvSpPr>
            <xdr:cNvPr id="1043" name="PIN14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15</xdr:row>
          <xdr:rowOff>9525</xdr:rowOff>
        </xdr:from>
        <xdr:to>
          <xdr:col>16</xdr:col>
          <xdr:colOff>590550</xdr:colOff>
          <xdr:row>16</xdr:row>
          <xdr:rowOff>0</xdr:rowOff>
        </xdr:to>
        <xdr:sp macro="" textlink="">
          <xdr:nvSpPr>
            <xdr:cNvPr id="1044" name="PIN13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15</xdr:row>
          <xdr:rowOff>9525</xdr:rowOff>
        </xdr:from>
        <xdr:to>
          <xdr:col>18</xdr:col>
          <xdr:colOff>19050</xdr:colOff>
          <xdr:row>16</xdr:row>
          <xdr:rowOff>0</xdr:rowOff>
        </xdr:to>
        <xdr:sp macro="" textlink="">
          <xdr:nvSpPr>
            <xdr:cNvPr id="1045" name="PIN12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15</xdr:row>
          <xdr:rowOff>9525</xdr:rowOff>
        </xdr:from>
        <xdr:to>
          <xdr:col>19</xdr:col>
          <xdr:colOff>0</xdr:colOff>
          <xdr:row>16</xdr:row>
          <xdr:rowOff>0</xdr:rowOff>
        </xdr:to>
        <xdr:sp macro="" textlink="">
          <xdr:nvSpPr>
            <xdr:cNvPr id="1046" name="PIN11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15</xdr:row>
          <xdr:rowOff>9525</xdr:rowOff>
        </xdr:from>
        <xdr:to>
          <xdr:col>20</xdr:col>
          <xdr:colOff>9525</xdr:colOff>
          <xdr:row>16</xdr:row>
          <xdr:rowOff>0</xdr:rowOff>
        </xdr:to>
        <xdr:sp macro="" textlink="">
          <xdr:nvSpPr>
            <xdr:cNvPr id="1047" name="PIN10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9525</xdr:rowOff>
        </xdr:from>
        <xdr:to>
          <xdr:col>20</xdr:col>
          <xdr:colOff>600075</xdr:colOff>
          <xdr:row>16</xdr:row>
          <xdr:rowOff>0</xdr:rowOff>
        </xdr:to>
        <xdr:sp macro="" textlink="">
          <xdr:nvSpPr>
            <xdr:cNvPr id="1048" name="PIN9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18</xdr:row>
          <xdr:rowOff>0</xdr:rowOff>
        </xdr:from>
        <xdr:to>
          <xdr:col>14</xdr:col>
          <xdr:colOff>19050</xdr:colOff>
          <xdr:row>18</xdr:row>
          <xdr:rowOff>371475</xdr:rowOff>
        </xdr:to>
        <xdr:sp macro="" textlink="">
          <xdr:nvSpPr>
            <xdr:cNvPr id="1049" name="PIN1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18</xdr:row>
          <xdr:rowOff>0</xdr:rowOff>
        </xdr:from>
        <xdr:to>
          <xdr:col>15</xdr:col>
          <xdr:colOff>0</xdr:colOff>
          <xdr:row>18</xdr:row>
          <xdr:rowOff>371475</xdr:rowOff>
        </xdr:to>
        <xdr:sp macro="" textlink="">
          <xdr:nvSpPr>
            <xdr:cNvPr id="1050" name="PIN2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18</xdr:row>
          <xdr:rowOff>0</xdr:rowOff>
        </xdr:from>
        <xdr:to>
          <xdr:col>16</xdr:col>
          <xdr:colOff>9525</xdr:colOff>
          <xdr:row>18</xdr:row>
          <xdr:rowOff>371475</xdr:rowOff>
        </xdr:to>
        <xdr:sp macro="" textlink="">
          <xdr:nvSpPr>
            <xdr:cNvPr id="1051" name="PIN3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18</xdr:row>
          <xdr:rowOff>0</xdr:rowOff>
        </xdr:from>
        <xdr:to>
          <xdr:col>16</xdr:col>
          <xdr:colOff>600075</xdr:colOff>
          <xdr:row>18</xdr:row>
          <xdr:rowOff>371475</xdr:rowOff>
        </xdr:to>
        <xdr:sp macro="" textlink="">
          <xdr:nvSpPr>
            <xdr:cNvPr id="1052" name="PIN4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18</xdr:row>
          <xdr:rowOff>0</xdr:rowOff>
        </xdr:from>
        <xdr:to>
          <xdr:col>18</xdr:col>
          <xdr:colOff>28575</xdr:colOff>
          <xdr:row>18</xdr:row>
          <xdr:rowOff>371475</xdr:rowOff>
        </xdr:to>
        <xdr:sp macro="" textlink="">
          <xdr:nvSpPr>
            <xdr:cNvPr id="1053" name="PIN5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18</xdr:row>
          <xdr:rowOff>0</xdr:rowOff>
        </xdr:from>
        <xdr:to>
          <xdr:col>19</xdr:col>
          <xdr:colOff>9525</xdr:colOff>
          <xdr:row>18</xdr:row>
          <xdr:rowOff>371475</xdr:rowOff>
        </xdr:to>
        <xdr:sp macro="" textlink="">
          <xdr:nvSpPr>
            <xdr:cNvPr id="1054" name="PIN6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18</xdr:row>
          <xdr:rowOff>0</xdr:rowOff>
        </xdr:from>
        <xdr:to>
          <xdr:col>20</xdr:col>
          <xdr:colOff>19050</xdr:colOff>
          <xdr:row>18</xdr:row>
          <xdr:rowOff>371475</xdr:rowOff>
        </xdr:to>
        <xdr:sp macro="" textlink="">
          <xdr:nvSpPr>
            <xdr:cNvPr id="1055" name="PIN7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</xdr:colOff>
          <xdr:row>18</xdr:row>
          <xdr:rowOff>0</xdr:rowOff>
        </xdr:from>
        <xdr:to>
          <xdr:col>21</xdr:col>
          <xdr:colOff>0</xdr:colOff>
          <xdr:row>18</xdr:row>
          <xdr:rowOff>371475</xdr:rowOff>
        </xdr:to>
        <xdr:sp macro="" textlink="">
          <xdr:nvSpPr>
            <xdr:cNvPr id="1056" name="PIN8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610657</xdr:colOff>
          <xdr:row>7</xdr:row>
          <xdr:rowOff>10582</xdr:rowOff>
        </xdr:from>
        <xdr:to>
          <xdr:col>38</xdr:col>
          <xdr:colOff>26457</xdr:colOff>
          <xdr:row>8</xdr:row>
          <xdr:rowOff>10582</xdr:rowOff>
        </xdr:to>
        <xdr:sp macro="" textlink="">
          <xdr:nvSpPr>
            <xdr:cNvPr id="1065" name="b0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608542</xdr:colOff>
          <xdr:row>7</xdr:row>
          <xdr:rowOff>14815</xdr:rowOff>
        </xdr:from>
        <xdr:to>
          <xdr:col>39</xdr:col>
          <xdr:colOff>24342</xdr:colOff>
          <xdr:row>8</xdr:row>
          <xdr:rowOff>14815</xdr:rowOff>
        </xdr:to>
        <xdr:sp macro="" textlink="">
          <xdr:nvSpPr>
            <xdr:cNvPr id="1066" name="b1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7408</xdr:colOff>
          <xdr:row>7</xdr:row>
          <xdr:rowOff>10582</xdr:rowOff>
        </xdr:from>
        <xdr:to>
          <xdr:col>40</xdr:col>
          <xdr:colOff>32808</xdr:colOff>
          <xdr:row>8</xdr:row>
          <xdr:rowOff>10582</xdr:rowOff>
        </xdr:to>
        <xdr:sp macro="" textlink="">
          <xdr:nvSpPr>
            <xdr:cNvPr id="1067" name="b2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5291</xdr:colOff>
          <xdr:row>7</xdr:row>
          <xdr:rowOff>14815</xdr:rowOff>
        </xdr:from>
        <xdr:to>
          <xdr:col>41</xdr:col>
          <xdr:colOff>30691</xdr:colOff>
          <xdr:row>8</xdr:row>
          <xdr:rowOff>14815</xdr:rowOff>
        </xdr:to>
        <xdr:sp macro="" textlink="">
          <xdr:nvSpPr>
            <xdr:cNvPr id="1068" name="b3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608541</xdr:colOff>
          <xdr:row>7</xdr:row>
          <xdr:rowOff>14815</xdr:rowOff>
        </xdr:from>
        <xdr:to>
          <xdr:col>42</xdr:col>
          <xdr:colOff>24341</xdr:colOff>
          <xdr:row>8</xdr:row>
          <xdr:rowOff>14815</xdr:rowOff>
        </xdr:to>
        <xdr:sp macro="" textlink="">
          <xdr:nvSpPr>
            <xdr:cNvPr id="1069" name="b4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13756</xdr:colOff>
          <xdr:row>7</xdr:row>
          <xdr:rowOff>14815</xdr:rowOff>
        </xdr:from>
        <xdr:to>
          <xdr:col>43</xdr:col>
          <xdr:colOff>39156</xdr:colOff>
          <xdr:row>8</xdr:row>
          <xdr:rowOff>14815</xdr:rowOff>
        </xdr:to>
        <xdr:sp macro="" textlink="">
          <xdr:nvSpPr>
            <xdr:cNvPr id="1070" name="b5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13757</xdr:colOff>
          <xdr:row>7</xdr:row>
          <xdr:rowOff>14815</xdr:rowOff>
        </xdr:from>
        <xdr:to>
          <xdr:col>44</xdr:col>
          <xdr:colOff>39157</xdr:colOff>
          <xdr:row>8</xdr:row>
          <xdr:rowOff>14815</xdr:rowOff>
        </xdr:to>
        <xdr:sp macro="" textlink="">
          <xdr:nvSpPr>
            <xdr:cNvPr id="1071" name="b6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13757</xdr:colOff>
          <xdr:row>7</xdr:row>
          <xdr:rowOff>14815</xdr:rowOff>
        </xdr:from>
        <xdr:to>
          <xdr:col>45</xdr:col>
          <xdr:colOff>39157</xdr:colOff>
          <xdr:row>8</xdr:row>
          <xdr:rowOff>14815</xdr:rowOff>
        </xdr:to>
        <xdr:sp macro="" textlink="">
          <xdr:nvSpPr>
            <xdr:cNvPr id="1072" name="b7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608540</xdr:colOff>
          <xdr:row>8</xdr:row>
          <xdr:rowOff>13757</xdr:rowOff>
        </xdr:from>
        <xdr:to>
          <xdr:col>38</xdr:col>
          <xdr:colOff>24340</xdr:colOff>
          <xdr:row>9</xdr:row>
          <xdr:rowOff>13757</xdr:rowOff>
        </xdr:to>
        <xdr:sp macro="" textlink="">
          <xdr:nvSpPr>
            <xdr:cNvPr id="1073" name="b8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4232</xdr:colOff>
          <xdr:row>8</xdr:row>
          <xdr:rowOff>12699</xdr:rowOff>
        </xdr:from>
        <xdr:to>
          <xdr:col>39</xdr:col>
          <xdr:colOff>29632</xdr:colOff>
          <xdr:row>9</xdr:row>
          <xdr:rowOff>12699</xdr:rowOff>
        </xdr:to>
        <xdr:sp macro="" textlink="">
          <xdr:nvSpPr>
            <xdr:cNvPr id="1074" name="b9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13758</xdr:colOff>
          <xdr:row>8</xdr:row>
          <xdr:rowOff>13757</xdr:rowOff>
        </xdr:from>
        <xdr:to>
          <xdr:col>40</xdr:col>
          <xdr:colOff>39158</xdr:colOff>
          <xdr:row>9</xdr:row>
          <xdr:rowOff>13757</xdr:rowOff>
        </xdr:to>
        <xdr:sp macro="" textlink="">
          <xdr:nvSpPr>
            <xdr:cNvPr id="1075" name="b10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13757</xdr:colOff>
          <xdr:row>8</xdr:row>
          <xdr:rowOff>12699</xdr:rowOff>
        </xdr:from>
        <xdr:to>
          <xdr:col>41</xdr:col>
          <xdr:colOff>39157</xdr:colOff>
          <xdr:row>9</xdr:row>
          <xdr:rowOff>12699</xdr:rowOff>
        </xdr:to>
        <xdr:sp macro="" textlink="">
          <xdr:nvSpPr>
            <xdr:cNvPr id="1076" name="b11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4232</xdr:colOff>
          <xdr:row>8</xdr:row>
          <xdr:rowOff>12699</xdr:rowOff>
        </xdr:from>
        <xdr:to>
          <xdr:col>42</xdr:col>
          <xdr:colOff>29632</xdr:colOff>
          <xdr:row>9</xdr:row>
          <xdr:rowOff>12699</xdr:rowOff>
        </xdr:to>
        <xdr:sp macro="" textlink="">
          <xdr:nvSpPr>
            <xdr:cNvPr id="1077" name="b12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13758</xdr:colOff>
          <xdr:row>8</xdr:row>
          <xdr:rowOff>12699</xdr:rowOff>
        </xdr:from>
        <xdr:to>
          <xdr:col>43</xdr:col>
          <xdr:colOff>39158</xdr:colOff>
          <xdr:row>9</xdr:row>
          <xdr:rowOff>12699</xdr:rowOff>
        </xdr:to>
        <xdr:sp macro="" textlink="">
          <xdr:nvSpPr>
            <xdr:cNvPr id="1078" name="b13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13757</xdr:colOff>
          <xdr:row>8</xdr:row>
          <xdr:rowOff>12699</xdr:rowOff>
        </xdr:from>
        <xdr:to>
          <xdr:col>44</xdr:col>
          <xdr:colOff>39157</xdr:colOff>
          <xdr:row>9</xdr:row>
          <xdr:rowOff>12699</xdr:rowOff>
        </xdr:to>
        <xdr:sp macro="" textlink="">
          <xdr:nvSpPr>
            <xdr:cNvPr id="1079" name="b14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13758</xdr:colOff>
          <xdr:row>8</xdr:row>
          <xdr:rowOff>12699</xdr:rowOff>
        </xdr:from>
        <xdr:to>
          <xdr:col>45</xdr:col>
          <xdr:colOff>39158</xdr:colOff>
          <xdr:row>9</xdr:row>
          <xdr:rowOff>12699</xdr:rowOff>
        </xdr:to>
        <xdr:sp macro="" textlink="">
          <xdr:nvSpPr>
            <xdr:cNvPr id="1080" name="b15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608540</xdr:colOff>
          <xdr:row>9</xdr:row>
          <xdr:rowOff>3173</xdr:rowOff>
        </xdr:from>
        <xdr:to>
          <xdr:col>38</xdr:col>
          <xdr:colOff>24340</xdr:colOff>
          <xdr:row>10</xdr:row>
          <xdr:rowOff>3173</xdr:rowOff>
        </xdr:to>
        <xdr:sp macro="" textlink="">
          <xdr:nvSpPr>
            <xdr:cNvPr id="1081" name="b16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4232</xdr:colOff>
          <xdr:row>9</xdr:row>
          <xdr:rowOff>2115</xdr:rowOff>
        </xdr:from>
        <xdr:to>
          <xdr:col>39</xdr:col>
          <xdr:colOff>29632</xdr:colOff>
          <xdr:row>10</xdr:row>
          <xdr:rowOff>2115</xdr:rowOff>
        </xdr:to>
        <xdr:sp macro="" textlink="">
          <xdr:nvSpPr>
            <xdr:cNvPr id="1082" name="b17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13758</xdr:colOff>
          <xdr:row>9</xdr:row>
          <xdr:rowOff>3173</xdr:rowOff>
        </xdr:from>
        <xdr:to>
          <xdr:col>40</xdr:col>
          <xdr:colOff>39158</xdr:colOff>
          <xdr:row>10</xdr:row>
          <xdr:rowOff>3173</xdr:rowOff>
        </xdr:to>
        <xdr:sp macro="" textlink="">
          <xdr:nvSpPr>
            <xdr:cNvPr id="1083" name="b18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13757</xdr:colOff>
          <xdr:row>9</xdr:row>
          <xdr:rowOff>2115</xdr:rowOff>
        </xdr:from>
        <xdr:to>
          <xdr:col>41</xdr:col>
          <xdr:colOff>39157</xdr:colOff>
          <xdr:row>10</xdr:row>
          <xdr:rowOff>2115</xdr:rowOff>
        </xdr:to>
        <xdr:sp macro="" textlink="">
          <xdr:nvSpPr>
            <xdr:cNvPr id="1084" name="b19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4232</xdr:colOff>
          <xdr:row>9</xdr:row>
          <xdr:rowOff>2115</xdr:rowOff>
        </xdr:from>
        <xdr:to>
          <xdr:col>42</xdr:col>
          <xdr:colOff>29632</xdr:colOff>
          <xdr:row>10</xdr:row>
          <xdr:rowOff>2115</xdr:rowOff>
        </xdr:to>
        <xdr:sp macro="" textlink="">
          <xdr:nvSpPr>
            <xdr:cNvPr id="1085" name="b20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13758</xdr:colOff>
          <xdr:row>9</xdr:row>
          <xdr:rowOff>2115</xdr:rowOff>
        </xdr:from>
        <xdr:to>
          <xdr:col>43</xdr:col>
          <xdr:colOff>39158</xdr:colOff>
          <xdr:row>10</xdr:row>
          <xdr:rowOff>2115</xdr:rowOff>
        </xdr:to>
        <xdr:sp macro="" textlink="">
          <xdr:nvSpPr>
            <xdr:cNvPr id="1086" name="b21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13757</xdr:colOff>
          <xdr:row>9</xdr:row>
          <xdr:rowOff>2115</xdr:rowOff>
        </xdr:from>
        <xdr:to>
          <xdr:col>44</xdr:col>
          <xdr:colOff>39157</xdr:colOff>
          <xdr:row>10</xdr:row>
          <xdr:rowOff>2115</xdr:rowOff>
        </xdr:to>
        <xdr:sp macro="" textlink="">
          <xdr:nvSpPr>
            <xdr:cNvPr id="1087" name="b22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13758</xdr:colOff>
          <xdr:row>9</xdr:row>
          <xdr:rowOff>2115</xdr:rowOff>
        </xdr:from>
        <xdr:to>
          <xdr:col>45</xdr:col>
          <xdr:colOff>39158</xdr:colOff>
          <xdr:row>10</xdr:row>
          <xdr:rowOff>2115</xdr:rowOff>
        </xdr:to>
        <xdr:sp macro="" textlink="">
          <xdr:nvSpPr>
            <xdr:cNvPr id="1088" name="b23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4233</xdr:colOff>
          <xdr:row>9</xdr:row>
          <xdr:rowOff>375706</xdr:rowOff>
        </xdr:from>
        <xdr:to>
          <xdr:col>38</xdr:col>
          <xdr:colOff>29633</xdr:colOff>
          <xdr:row>10</xdr:row>
          <xdr:rowOff>375706</xdr:rowOff>
        </xdr:to>
        <xdr:sp macro="" textlink="">
          <xdr:nvSpPr>
            <xdr:cNvPr id="1089" name="b24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4232</xdr:colOff>
          <xdr:row>9</xdr:row>
          <xdr:rowOff>374648</xdr:rowOff>
        </xdr:from>
        <xdr:to>
          <xdr:col>39</xdr:col>
          <xdr:colOff>29632</xdr:colOff>
          <xdr:row>10</xdr:row>
          <xdr:rowOff>374648</xdr:rowOff>
        </xdr:to>
        <xdr:sp macro="" textlink="">
          <xdr:nvSpPr>
            <xdr:cNvPr id="1090" name="b25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13758</xdr:colOff>
          <xdr:row>9</xdr:row>
          <xdr:rowOff>375706</xdr:rowOff>
        </xdr:from>
        <xdr:to>
          <xdr:col>40</xdr:col>
          <xdr:colOff>39158</xdr:colOff>
          <xdr:row>10</xdr:row>
          <xdr:rowOff>375706</xdr:rowOff>
        </xdr:to>
        <xdr:sp macro="" textlink="">
          <xdr:nvSpPr>
            <xdr:cNvPr id="1091" name="b26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13757</xdr:colOff>
          <xdr:row>9</xdr:row>
          <xdr:rowOff>374648</xdr:rowOff>
        </xdr:from>
        <xdr:to>
          <xdr:col>41</xdr:col>
          <xdr:colOff>39157</xdr:colOff>
          <xdr:row>10</xdr:row>
          <xdr:rowOff>374648</xdr:rowOff>
        </xdr:to>
        <xdr:sp macro="" textlink="">
          <xdr:nvSpPr>
            <xdr:cNvPr id="1092" name="b27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4232</xdr:colOff>
          <xdr:row>9</xdr:row>
          <xdr:rowOff>374648</xdr:rowOff>
        </xdr:from>
        <xdr:to>
          <xdr:col>42</xdr:col>
          <xdr:colOff>29632</xdr:colOff>
          <xdr:row>10</xdr:row>
          <xdr:rowOff>374648</xdr:rowOff>
        </xdr:to>
        <xdr:sp macro="" textlink="">
          <xdr:nvSpPr>
            <xdr:cNvPr id="1093" name="b28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13758</xdr:colOff>
          <xdr:row>9</xdr:row>
          <xdr:rowOff>374648</xdr:rowOff>
        </xdr:from>
        <xdr:to>
          <xdr:col>43</xdr:col>
          <xdr:colOff>39158</xdr:colOff>
          <xdr:row>10</xdr:row>
          <xdr:rowOff>374648</xdr:rowOff>
        </xdr:to>
        <xdr:sp macro="" textlink="">
          <xdr:nvSpPr>
            <xdr:cNvPr id="1094" name="b29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13757</xdr:colOff>
          <xdr:row>9</xdr:row>
          <xdr:rowOff>374648</xdr:rowOff>
        </xdr:from>
        <xdr:to>
          <xdr:col>44</xdr:col>
          <xdr:colOff>39157</xdr:colOff>
          <xdr:row>10</xdr:row>
          <xdr:rowOff>374648</xdr:rowOff>
        </xdr:to>
        <xdr:sp macro="" textlink="">
          <xdr:nvSpPr>
            <xdr:cNvPr id="1095" name="b30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13758</xdr:colOff>
          <xdr:row>9</xdr:row>
          <xdr:rowOff>374648</xdr:rowOff>
        </xdr:from>
        <xdr:to>
          <xdr:col>45</xdr:col>
          <xdr:colOff>39158</xdr:colOff>
          <xdr:row>10</xdr:row>
          <xdr:rowOff>374648</xdr:rowOff>
        </xdr:to>
        <xdr:sp macro="" textlink="">
          <xdr:nvSpPr>
            <xdr:cNvPr id="1096" name="b31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608545</xdr:colOff>
          <xdr:row>11</xdr:row>
          <xdr:rowOff>3148</xdr:rowOff>
        </xdr:from>
        <xdr:to>
          <xdr:col>38</xdr:col>
          <xdr:colOff>24345</xdr:colOff>
          <xdr:row>12</xdr:row>
          <xdr:rowOff>3148</xdr:rowOff>
        </xdr:to>
        <xdr:sp macro="" textlink="">
          <xdr:nvSpPr>
            <xdr:cNvPr id="1097" name="b32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4237</xdr:colOff>
          <xdr:row>11</xdr:row>
          <xdr:rowOff>2090</xdr:rowOff>
        </xdr:from>
        <xdr:to>
          <xdr:col>39</xdr:col>
          <xdr:colOff>29637</xdr:colOff>
          <xdr:row>12</xdr:row>
          <xdr:rowOff>2090</xdr:rowOff>
        </xdr:to>
        <xdr:sp macro="" textlink="">
          <xdr:nvSpPr>
            <xdr:cNvPr id="1098" name="b33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13763</xdr:colOff>
          <xdr:row>11</xdr:row>
          <xdr:rowOff>3148</xdr:rowOff>
        </xdr:from>
        <xdr:to>
          <xdr:col>40</xdr:col>
          <xdr:colOff>39163</xdr:colOff>
          <xdr:row>12</xdr:row>
          <xdr:rowOff>3148</xdr:rowOff>
        </xdr:to>
        <xdr:sp macro="" textlink="">
          <xdr:nvSpPr>
            <xdr:cNvPr id="1099" name="b34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13762</xdr:colOff>
          <xdr:row>11</xdr:row>
          <xdr:rowOff>2090</xdr:rowOff>
        </xdr:from>
        <xdr:to>
          <xdr:col>41</xdr:col>
          <xdr:colOff>39162</xdr:colOff>
          <xdr:row>12</xdr:row>
          <xdr:rowOff>2090</xdr:rowOff>
        </xdr:to>
        <xdr:sp macro="" textlink="">
          <xdr:nvSpPr>
            <xdr:cNvPr id="1100" name="b35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4237</xdr:colOff>
          <xdr:row>11</xdr:row>
          <xdr:rowOff>2090</xdr:rowOff>
        </xdr:from>
        <xdr:to>
          <xdr:col>42</xdr:col>
          <xdr:colOff>29637</xdr:colOff>
          <xdr:row>12</xdr:row>
          <xdr:rowOff>2090</xdr:rowOff>
        </xdr:to>
        <xdr:sp macro="" textlink="">
          <xdr:nvSpPr>
            <xdr:cNvPr id="1101" name="b36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13763</xdr:colOff>
          <xdr:row>11</xdr:row>
          <xdr:rowOff>2090</xdr:rowOff>
        </xdr:from>
        <xdr:to>
          <xdr:col>43</xdr:col>
          <xdr:colOff>39163</xdr:colOff>
          <xdr:row>12</xdr:row>
          <xdr:rowOff>2090</xdr:rowOff>
        </xdr:to>
        <xdr:sp macro="" textlink="">
          <xdr:nvSpPr>
            <xdr:cNvPr id="1102" name="b37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13762</xdr:colOff>
          <xdr:row>11</xdr:row>
          <xdr:rowOff>2090</xdr:rowOff>
        </xdr:from>
        <xdr:to>
          <xdr:col>44</xdr:col>
          <xdr:colOff>39162</xdr:colOff>
          <xdr:row>12</xdr:row>
          <xdr:rowOff>2090</xdr:rowOff>
        </xdr:to>
        <xdr:sp macro="" textlink="">
          <xdr:nvSpPr>
            <xdr:cNvPr id="1103" name="b38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13763</xdr:colOff>
          <xdr:row>11</xdr:row>
          <xdr:rowOff>2090</xdr:rowOff>
        </xdr:from>
        <xdr:to>
          <xdr:col>45</xdr:col>
          <xdr:colOff>39163</xdr:colOff>
          <xdr:row>12</xdr:row>
          <xdr:rowOff>2090</xdr:rowOff>
        </xdr:to>
        <xdr:sp macro="" textlink="">
          <xdr:nvSpPr>
            <xdr:cNvPr id="1104" name="b39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4238</xdr:colOff>
          <xdr:row>12</xdr:row>
          <xdr:rowOff>5264</xdr:rowOff>
        </xdr:from>
        <xdr:to>
          <xdr:col>38</xdr:col>
          <xdr:colOff>29638</xdr:colOff>
          <xdr:row>13</xdr:row>
          <xdr:rowOff>5264</xdr:rowOff>
        </xdr:to>
        <xdr:sp macro="" textlink="">
          <xdr:nvSpPr>
            <xdr:cNvPr id="1105" name="b40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4237</xdr:colOff>
          <xdr:row>12</xdr:row>
          <xdr:rowOff>4206</xdr:rowOff>
        </xdr:from>
        <xdr:to>
          <xdr:col>39</xdr:col>
          <xdr:colOff>29637</xdr:colOff>
          <xdr:row>13</xdr:row>
          <xdr:rowOff>4206</xdr:rowOff>
        </xdr:to>
        <xdr:sp macro="" textlink="">
          <xdr:nvSpPr>
            <xdr:cNvPr id="1106" name="b41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13763</xdr:colOff>
          <xdr:row>12</xdr:row>
          <xdr:rowOff>5264</xdr:rowOff>
        </xdr:from>
        <xdr:to>
          <xdr:col>40</xdr:col>
          <xdr:colOff>39163</xdr:colOff>
          <xdr:row>13</xdr:row>
          <xdr:rowOff>5264</xdr:rowOff>
        </xdr:to>
        <xdr:sp macro="" textlink="">
          <xdr:nvSpPr>
            <xdr:cNvPr id="1107" name="b42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13762</xdr:colOff>
          <xdr:row>12</xdr:row>
          <xdr:rowOff>4206</xdr:rowOff>
        </xdr:from>
        <xdr:to>
          <xdr:col>41</xdr:col>
          <xdr:colOff>39162</xdr:colOff>
          <xdr:row>13</xdr:row>
          <xdr:rowOff>4206</xdr:rowOff>
        </xdr:to>
        <xdr:sp macro="" textlink="">
          <xdr:nvSpPr>
            <xdr:cNvPr id="1108" name="b43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4237</xdr:colOff>
          <xdr:row>12</xdr:row>
          <xdr:rowOff>4206</xdr:rowOff>
        </xdr:from>
        <xdr:to>
          <xdr:col>42</xdr:col>
          <xdr:colOff>29637</xdr:colOff>
          <xdr:row>13</xdr:row>
          <xdr:rowOff>4206</xdr:rowOff>
        </xdr:to>
        <xdr:sp macro="" textlink="">
          <xdr:nvSpPr>
            <xdr:cNvPr id="1109" name="b44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13763</xdr:colOff>
          <xdr:row>12</xdr:row>
          <xdr:rowOff>4206</xdr:rowOff>
        </xdr:from>
        <xdr:to>
          <xdr:col>43</xdr:col>
          <xdr:colOff>39163</xdr:colOff>
          <xdr:row>13</xdr:row>
          <xdr:rowOff>4206</xdr:rowOff>
        </xdr:to>
        <xdr:sp macro="" textlink="">
          <xdr:nvSpPr>
            <xdr:cNvPr id="1110" name="b45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13762</xdr:colOff>
          <xdr:row>12</xdr:row>
          <xdr:rowOff>4206</xdr:rowOff>
        </xdr:from>
        <xdr:to>
          <xdr:col>44</xdr:col>
          <xdr:colOff>39162</xdr:colOff>
          <xdr:row>13</xdr:row>
          <xdr:rowOff>4206</xdr:rowOff>
        </xdr:to>
        <xdr:sp macro="" textlink="">
          <xdr:nvSpPr>
            <xdr:cNvPr id="1111" name="b46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13763</xdr:colOff>
          <xdr:row>12</xdr:row>
          <xdr:rowOff>4206</xdr:rowOff>
        </xdr:from>
        <xdr:to>
          <xdr:col>45</xdr:col>
          <xdr:colOff>39163</xdr:colOff>
          <xdr:row>13</xdr:row>
          <xdr:rowOff>4206</xdr:rowOff>
        </xdr:to>
        <xdr:sp macro="" textlink="">
          <xdr:nvSpPr>
            <xdr:cNvPr id="1112" name="b47" hidden="1">
              <a:extLst>
                <a:ext uri="{63B3BB69-23CF-44E3-9099-C40C66FF867C}">
                  <a14:compatExt spid="_x0000_s1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4238</xdr:colOff>
          <xdr:row>13</xdr:row>
          <xdr:rowOff>5264</xdr:rowOff>
        </xdr:from>
        <xdr:to>
          <xdr:col>38</xdr:col>
          <xdr:colOff>29638</xdr:colOff>
          <xdr:row>14</xdr:row>
          <xdr:rowOff>5264</xdr:rowOff>
        </xdr:to>
        <xdr:sp macro="" textlink="">
          <xdr:nvSpPr>
            <xdr:cNvPr id="1113" name="b48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10583</xdr:colOff>
          <xdr:row>13</xdr:row>
          <xdr:rowOff>4206</xdr:rowOff>
        </xdr:from>
        <xdr:to>
          <xdr:col>39</xdr:col>
          <xdr:colOff>35983</xdr:colOff>
          <xdr:row>14</xdr:row>
          <xdr:rowOff>4206</xdr:rowOff>
        </xdr:to>
        <xdr:sp macro="" textlink="">
          <xdr:nvSpPr>
            <xdr:cNvPr id="1114" name="b49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13763</xdr:colOff>
          <xdr:row>13</xdr:row>
          <xdr:rowOff>5264</xdr:rowOff>
        </xdr:from>
        <xdr:to>
          <xdr:col>40</xdr:col>
          <xdr:colOff>39163</xdr:colOff>
          <xdr:row>14</xdr:row>
          <xdr:rowOff>5264</xdr:rowOff>
        </xdr:to>
        <xdr:sp macro="" textlink="">
          <xdr:nvSpPr>
            <xdr:cNvPr id="1115" name="b50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13762</xdr:colOff>
          <xdr:row>13</xdr:row>
          <xdr:rowOff>4206</xdr:rowOff>
        </xdr:from>
        <xdr:to>
          <xdr:col>41</xdr:col>
          <xdr:colOff>39162</xdr:colOff>
          <xdr:row>14</xdr:row>
          <xdr:rowOff>4206</xdr:rowOff>
        </xdr:to>
        <xdr:sp macro="" textlink="">
          <xdr:nvSpPr>
            <xdr:cNvPr id="1116" name="b51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4237</xdr:colOff>
          <xdr:row>13</xdr:row>
          <xdr:rowOff>4206</xdr:rowOff>
        </xdr:from>
        <xdr:to>
          <xdr:col>42</xdr:col>
          <xdr:colOff>29637</xdr:colOff>
          <xdr:row>14</xdr:row>
          <xdr:rowOff>4206</xdr:rowOff>
        </xdr:to>
        <xdr:sp macro="" textlink="">
          <xdr:nvSpPr>
            <xdr:cNvPr id="1117" name="b52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13763</xdr:colOff>
          <xdr:row>13</xdr:row>
          <xdr:rowOff>4206</xdr:rowOff>
        </xdr:from>
        <xdr:to>
          <xdr:col>43</xdr:col>
          <xdr:colOff>39163</xdr:colOff>
          <xdr:row>14</xdr:row>
          <xdr:rowOff>4206</xdr:rowOff>
        </xdr:to>
        <xdr:sp macro="" textlink="">
          <xdr:nvSpPr>
            <xdr:cNvPr id="1118" name="b53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13762</xdr:colOff>
          <xdr:row>13</xdr:row>
          <xdr:rowOff>4206</xdr:rowOff>
        </xdr:from>
        <xdr:to>
          <xdr:col>44</xdr:col>
          <xdr:colOff>39162</xdr:colOff>
          <xdr:row>14</xdr:row>
          <xdr:rowOff>4206</xdr:rowOff>
        </xdr:to>
        <xdr:sp macro="" textlink="">
          <xdr:nvSpPr>
            <xdr:cNvPr id="1119" name="b54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13763</xdr:colOff>
          <xdr:row>13</xdr:row>
          <xdr:rowOff>4206</xdr:rowOff>
        </xdr:from>
        <xdr:to>
          <xdr:col>45</xdr:col>
          <xdr:colOff>39163</xdr:colOff>
          <xdr:row>14</xdr:row>
          <xdr:rowOff>4206</xdr:rowOff>
        </xdr:to>
        <xdr:sp macro="" textlink="">
          <xdr:nvSpPr>
            <xdr:cNvPr id="1120" name="b55" hidden="1">
              <a:extLst>
                <a:ext uri="{63B3BB69-23CF-44E3-9099-C40C66FF867C}">
                  <a14:compatExt spid="_x0000_s1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4238</xdr:colOff>
          <xdr:row>13</xdr:row>
          <xdr:rowOff>367214</xdr:rowOff>
        </xdr:from>
        <xdr:to>
          <xdr:col>38</xdr:col>
          <xdr:colOff>29638</xdr:colOff>
          <xdr:row>14</xdr:row>
          <xdr:rowOff>367214</xdr:rowOff>
        </xdr:to>
        <xdr:sp macro="" textlink="">
          <xdr:nvSpPr>
            <xdr:cNvPr id="1121" name="b56" hidden="1">
              <a:extLst>
                <a:ext uri="{63B3BB69-23CF-44E3-9099-C40C66FF867C}">
                  <a14:compatExt spid="_x0000_s1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14820</xdr:colOff>
          <xdr:row>13</xdr:row>
          <xdr:rowOff>366156</xdr:rowOff>
        </xdr:from>
        <xdr:to>
          <xdr:col>39</xdr:col>
          <xdr:colOff>40220</xdr:colOff>
          <xdr:row>14</xdr:row>
          <xdr:rowOff>366156</xdr:rowOff>
        </xdr:to>
        <xdr:sp macro="" textlink="">
          <xdr:nvSpPr>
            <xdr:cNvPr id="1122" name="b57" hidden="1">
              <a:extLst>
                <a:ext uri="{63B3BB69-23CF-44E3-9099-C40C66FF867C}">
                  <a14:compatExt spid="_x0000_s1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13763</xdr:colOff>
          <xdr:row>13</xdr:row>
          <xdr:rowOff>367214</xdr:rowOff>
        </xdr:from>
        <xdr:to>
          <xdr:col>40</xdr:col>
          <xdr:colOff>39163</xdr:colOff>
          <xdr:row>14</xdr:row>
          <xdr:rowOff>367214</xdr:rowOff>
        </xdr:to>
        <xdr:sp macro="" textlink="">
          <xdr:nvSpPr>
            <xdr:cNvPr id="1123" name="b58" hidden="1">
              <a:extLst>
                <a:ext uri="{63B3BB69-23CF-44E3-9099-C40C66FF867C}">
                  <a14:compatExt spid="_x0000_s1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13762</xdr:colOff>
          <xdr:row>13</xdr:row>
          <xdr:rowOff>366156</xdr:rowOff>
        </xdr:from>
        <xdr:to>
          <xdr:col>41</xdr:col>
          <xdr:colOff>39162</xdr:colOff>
          <xdr:row>14</xdr:row>
          <xdr:rowOff>366156</xdr:rowOff>
        </xdr:to>
        <xdr:sp macro="" textlink="">
          <xdr:nvSpPr>
            <xdr:cNvPr id="1124" name="b59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4237</xdr:colOff>
          <xdr:row>13</xdr:row>
          <xdr:rowOff>366156</xdr:rowOff>
        </xdr:from>
        <xdr:to>
          <xdr:col>42</xdr:col>
          <xdr:colOff>29637</xdr:colOff>
          <xdr:row>14</xdr:row>
          <xdr:rowOff>366156</xdr:rowOff>
        </xdr:to>
        <xdr:sp macro="" textlink="">
          <xdr:nvSpPr>
            <xdr:cNvPr id="1125" name="b60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13763</xdr:colOff>
          <xdr:row>13</xdr:row>
          <xdr:rowOff>366156</xdr:rowOff>
        </xdr:from>
        <xdr:to>
          <xdr:col>43</xdr:col>
          <xdr:colOff>39163</xdr:colOff>
          <xdr:row>14</xdr:row>
          <xdr:rowOff>366156</xdr:rowOff>
        </xdr:to>
        <xdr:sp macro="" textlink="">
          <xdr:nvSpPr>
            <xdr:cNvPr id="1126" name="b61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13762</xdr:colOff>
          <xdr:row>13</xdr:row>
          <xdr:rowOff>366156</xdr:rowOff>
        </xdr:from>
        <xdr:to>
          <xdr:col>44</xdr:col>
          <xdr:colOff>39162</xdr:colOff>
          <xdr:row>14</xdr:row>
          <xdr:rowOff>366156</xdr:rowOff>
        </xdr:to>
        <xdr:sp macro="" textlink="">
          <xdr:nvSpPr>
            <xdr:cNvPr id="1127" name="b62" hidden="1">
              <a:extLst>
                <a:ext uri="{63B3BB69-23CF-44E3-9099-C40C66FF867C}">
                  <a14:compatExt spid="_x0000_s1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13763</xdr:colOff>
          <xdr:row>13</xdr:row>
          <xdr:rowOff>366156</xdr:rowOff>
        </xdr:from>
        <xdr:to>
          <xdr:col>45</xdr:col>
          <xdr:colOff>39163</xdr:colOff>
          <xdr:row>14</xdr:row>
          <xdr:rowOff>366156</xdr:rowOff>
        </xdr:to>
        <xdr:sp macro="" textlink="">
          <xdr:nvSpPr>
            <xdr:cNvPr id="1128" name="b63" hidden="1">
              <a:extLst>
                <a:ext uri="{63B3BB69-23CF-44E3-9099-C40C66FF867C}">
                  <a14:compatExt spid="_x0000_s1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117" Type="http://schemas.openxmlformats.org/officeDocument/2006/relationships/image" Target="../media/image57.emf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84" Type="http://schemas.openxmlformats.org/officeDocument/2006/relationships/control" Target="../activeX/activeX41.xml"/><Relationship Id="rId89" Type="http://schemas.openxmlformats.org/officeDocument/2006/relationships/image" Target="../media/image43.emf"/><Relationship Id="rId112" Type="http://schemas.openxmlformats.org/officeDocument/2006/relationships/control" Target="../activeX/activeX55.xml"/><Relationship Id="rId133" Type="http://schemas.openxmlformats.org/officeDocument/2006/relationships/image" Target="../media/image65.emf"/><Relationship Id="rId138" Type="http://schemas.openxmlformats.org/officeDocument/2006/relationships/control" Target="../activeX/activeX68.xml"/><Relationship Id="rId154" Type="http://schemas.openxmlformats.org/officeDocument/2006/relationships/control" Target="../activeX/activeX76.xml"/><Relationship Id="rId159" Type="http://schemas.openxmlformats.org/officeDocument/2006/relationships/image" Target="../media/image78.emf"/><Relationship Id="rId16" Type="http://schemas.openxmlformats.org/officeDocument/2006/relationships/control" Target="../activeX/activeX7.xml"/><Relationship Id="rId107" Type="http://schemas.openxmlformats.org/officeDocument/2006/relationships/image" Target="../media/image52.emf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ontrol" Target="../activeX/activeX36.xml"/><Relationship Id="rId79" Type="http://schemas.openxmlformats.org/officeDocument/2006/relationships/image" Target="../media/image38.emf"/><Relationship Id="rId102" Type="http://schemas.openxmlformats.org/officeDocument/2006/relationships/control" Target="../activeX/activeX50.xml"/><Relationship Id="rId123" Type="http://schemas.openxmlformats.org/officeDocument/2006/relationships/image" Target="../media/image60.emf"/><Relationship Id="rId128" Type="http://schemas.openxmlformats.org/officeDocument/2006/relationships/control" Target="../activeX/activeX63.xml"/><Relationship Id="rId144" Type="http://schemas.openxmlformats.org/officeDocument/2006/relationships/control" Target="../activeX/activeX71.xml"/><Relationship Id="rId149" Type="http://schemas.openxmlformats.org/officeDocument/2006/relationships/image" Target="../media/image73.emf"/><Relationship Id="rId5" Type="http://schemas.openxmlformats.org/officeDocument/2006/relationships/image" Target="../media/image1.emf"/><Relationship Id="rId90" Type="http://schemas.openxmlformats.org/officeDocument/2006/relationships/control" Target="../activeX/activeX44.xml"/><Relationship Id="rId95" Type="http://schemas.openxmlformats.org/officeDocument/2006/relationships/image" Target="../media/image46.emf"/><Relationship Id="rId160" Type="http://schemas.openxmlformats.org/officeDocument/2006/relationships/control" Target="../activeX/activeX79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113" Type="http://schemas.openxmlformats.org/officeDocument/2006/relationships/image" Target="../media/image55.emf"/><Relationship Id="rId118" Type="http://schemas.openxmlformats.org/officeDocument/2006/relationships/control" Target="../activeX/activeX58.xml"/><Relationship Id="rId134" Type="http://schemas.openxmlformats.org/officeDocument/2006/relationships/control" Target="../activeX/activeX66.xml"/><Relationship Id="rId139" Type="http://schemas.openxmlformats.org/officeDocument/2006/relationships/image" Target="../media/image68.emf"/><Relationship Id="rId80" Type="http://schemas.openxmlformats.org/officeDocument/2006/relationships/control" Target="../activeX/activeX39.xml"/><Relationship Id="rId85" Type="http://schemas.openxmlformats.org/officeDocument/2006/relationships/image" Target="../media/image41.emf"/><Relationship Id="rId150" Type="http://schemas.openxmlformats.org/officeDocument/2006/relationships/control" Target="../activeX/activeX74.xml"/><Relationship Id="rId155" Type="http://schemas.openxmlformats.org/officeDocument/2006/relationships/image" Target="../media/image76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59" Type="http://schemas.openxmlformats.org/officeDocument/2006/relationships/image" Target="../media/image28.emf"/><Relationship Id="rId103" Type="http://schemas.openxmlformats.org/officeDocument/2006/relationships/image" Target="../media/image50.emf"/><Relationship Id="rId108" Type="http://schemas.openxmlformats.org/officeDocument/2006/relationships/control" Target="../activeX/activeX53.xml"/><Relationship Id="rId124" Type="http://schemas.openxmlformats.org/officeDocument/2006/relationships/control" Target="../activeX/activeX61.xml"/><Relationship Id="rId129" Type="http://schemas.openxmlformats.org/officeDocument/2006/relationships/image" Target="../media/image63.emf"/><Relationship Id="rId54" Type="http://schemas.openxmlformats.org/officeDocument/2006/relationships/control" Target="../activeX/activeX26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91" Type="http://schemas.openxmlformats.org/officeDocument/2006/relationships/image" Target="../media/image44.emf"/><Relationship Id="rId96" Type="http://schemas.openxmlformats.org/officeDocument/2006/relationships/control" Target="../activeX/activeX47.xml"/><Relationship Id="rId140" Type="http://schemas.openxmlformats.org/officeDocument/2006/relationships/control" Target="../activeX/activeX69.xml"/><Relationship Id="rId145" Type="http://schemas.openxmlformats.org/officeDocument/2006/relationships/image" Target="../media/image71.emf"/><Relationship Id="rId161" Type="http://schemas.openxmlformats.org/officeDocument/2006/relationships/image" Target="../media/image7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6" Type="http://schemas.openxmlformats.org/officeDocument/2006/relationships/control" Target="../activeX/activeX52.xml"/><Relationship Id="rId114" Type="http://schemas.openxmlformats.org/officeDocument/2006/relationships/control" Target="../activeX/activeX56.xml"/><Relationship Id="rId119" Type="http://schemas.openxmlformats.org/officeDocument/2006/relationships/image" Target="../media/image58.emf"/><Relationship Id="rId127" Type="http://schemas.openxmlformats.org/officeDocument/2006/relationships/image" Target="../media/image62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81" Type="http://schemas.openxmlformats.org/officeDocument/2006/relationships/image" Target="../media/image39.emf"/><Relationship Id="rId86" Type="http://schemas.openxmlformats.org/officeDocument/2006/relationships/control" Target="../activeX/activeX42.xml"/><Relationship Id="rId94" Type="http://schemas.openxmlformats.org/officeDocument/2006/relationships/control" Target="../activeX/activeX46.xml"/><Relationship Id="rId99" Type="http://schemas.openxmlformats.org/officeDocument/2006/relationships/image" Target="../media/image48.emf"/><Relationship Id="rId101" Type="http://schemas.openxmlformats.org/officeDocument/2006/relationships/image" Target="../media/image49.emf"/><Relationship Id="rId122" Type="http://schemas.openxmlformats.org/officeDocument/2006/relationships/control" Target="../activeX/activeX60.xml"/><Relationship Id="rId130" Type="http://schemas.openxmlformats.org/officeDocument/2006/relationships/control" Target="../activeX/activeX64.xml"/><Relationship Id="rId135" Type="http://schemas.openxmlformats.org/officeDocument/2006/relationships/image" Target="../media/image66.emf"/><Relationship Id="rId143" Type="http://schemas.openxmlformats.org/officeDocument/2006/relationships/image" Target="../media/image70.emf"/><Relationship Id="rId148" Type="http://schemas.openxmlformats.org/officeDocument/2006/relationships/control" Target="../activeX/activeX73.xml"/><Relationship Id="rId151" Type="http://schemas.openxmlformats.org/officeDocument/2006/relationships/image" Target="../media/image74.emf"/><Relationship Id="rId156" Type="http://schemas.openxmlformats.org/officeDocument/2006/relationships/control" Target="../activeX/activeX77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109" Type="http://schemas.openxmlformats.org/officeDocument/2006/relationships/image" Target="../media/image53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image" Target="../media/image47.emf"/><Relationship Id="rId104" Type="http://schemas.openxmlformats.org/officeDocument/2006/relationships/control" Target="../activeX/activeX51.xml"/><Relationship Id="rId120" Type="http://schemas.openxmlformats.org/officeDocument/2006/relationships/control" Target="../activeX/activeX59.xml"/><Relationship Id="rId125" Type="http://schemas.openxmlformats.org/officeDocument/2006/relationships/image" Target="../media/image61.emf"/><Relationship Id="rId141" Type="http://schemas.openxmlformats.org/officeDocument/2006/relationships/image" Target="../media/image69.emf"/><Relationship Id="rId146" Type="http://schemas.openxmlformats.org/officeDocument/2006/relationships/control" Target="../activeX/activeX72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Relationship Id="rId162" Type="http://schemas.openxmlformats.org/officeDocument/2006/relationships/control" Target="../activeX/activeX80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image" Target="../media/image42.emf"/><Relationship Id="rId110" Type="http://schemas.openxmlformats.org/officeDocument/2006/relationships/control" Target="../activeX/activeX54.xml"/><Relationship Id="rId115" Type="http://schemas.openxmlformats.org/officeDocument/2006/relationships/image" Target="../media/image56.emf"/><Relationship Id="rId131" Type="http://schemas.openxmlformats.org/officeDocument/2006/relationships/image" Target="../media/image64.emf"/><Relationship Id="rId136" Type="http://schemas.openxmlformats.org/officeDocument/2006/relationships/control" Target="../activeX/activeX67.xml"/><Relationship Id="rId157" Type="http://schemas.openxmlformats.org/officeDocument/2006/relationships/image" Target="../media/image77.emf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52" Type="http://schemas.openxmlformats.org/officeDocument/2006/relationships/control" Target="../activeX/activeX75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56" Type="http://schemas.openxmlformats.org/officeDocument/2006/relationships/control" Target="../activeX/activeX27.xml"/><Relationship Id="rId77" Type="http://schemas.openxmlformats.org/officeDocument/2006/relationships/image" Target="../media/image37.emf"/><Relationship Id="rId100" Type="http://schemas.openxmlformats.org/officeDocument/2006/relationships/control" Target="../activeX/activeX49.xml"/><Relationship Id="rId105" Type="http://schemas.openxmlformats.org/officeDocument/2006/relationships/image" Target="../media/image51.emf"/><Relationship Id="rId126" Type="http://schemas.openxmlformats.org/officeDocument/2006/relationships/control" Target="../activeX/activeX62.xml"/><Relationship Id="rId147" Type="http://schemas.openxmlformats.org/officeDocument/2006/relationships/image" Target="../media/image72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93" Type="http://schemas.openxmlformats.org/officeDocument/2006/relationships/image" Target="../media/image45.emf"/><Relationship Id="rId98" Type="http://schemas.openxmlformats.org/officeDocument/2006/relationships/control" Target="../activeX/activeX48.xml"/><Relationship Id="rId121" Type="http://schemas.openxmlformats.org/officeDocument/2006/relationships/image" Target="../media/image59.emf"/><Relationship Id="rId142" Type="http://schemas.openxmlformats.org/officeDocument/2006/relationships/control" Target="../activeX/activeX70.xml"/><Relationship Id="rId163" Type="http://schemas.openxmlformats.org/officeDocument/2006/relationships/image" Target="../media/image80.emf"/><Relationship Id="rId3" Type="http://schemas.openxmlformats.org/officeDocument/2006/relationships/vmlDrawing" Target="../drawings/vmlDrawing1.vml"/><Relationship Id="rId25" Type="http://schemas.openxmlformats.org/officeDocument/2006/relationships/image" Target="../media/image11.emf"/><Relationship Id="rId46" Type="http://schemas.openxmlformats.org/officeDocument/2006/relationships/control" Target="../activeX/activeX22.xml"/><Relationship Id="rId67" Type="http://schemas.openxmlformats.org/officeDocument/2006/relationships/image" Target="../media/image32.emf"/><Relationship Id="rId116" Type="http://schemas.openxmlformats.org/officeDocument/2006/relationships/control" Target="../activeX/activeX57.xml"/><Relationship Id="rId137" Type="http://schemas.openxmlformats.org/officeDocument/2006/relationships/image" Target="../media/image67.emf"/><Relationship Id="rId158" Type="http://schemas.openxmlformats.org/officeDocument/2006/relationships/control" Target="../activeX/activeX78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62" Type="http://schemas.openxmlformats.org/officeDocument/2006/relationships/control" Target="../activeX/activeX30.xml"/><Relationship Id="rId83" Type="http://schemas.openxmlformats.org/officeDocument/2006/relationships/image" Target="../media/image40.emf"/><Relationship Id="rId88" Type="http://schemas.openxmlformats.org/officeDocument/2006/relationships/control" Target="../activeX/activeX43.xml"/><Relationship Id="rId111" Type="http://schemas.openxmlformats.org/officeDocument/2006/relationships/image" Target="../media/image54.emf"/><Relationship Id="rId132" Type="http://schemas.openxmlformats.org/officeDocument/2006/relationships/control" Target="../activeX/activeX65.xml"/><Relationship Id="rId153" Type="http://schemas.openxmlformats.org/officeDocument/2006/relationships/image" Target="../media/image7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F961"/>
  <sheetViews>
    <sheetView tabSelected="1" topLeftCell="CA1" zoomScale="90" zoomScaleNormal="90" workbookViewId="0">
      <selection activeCell="CU11" sqref="CU11"/>
    </sheetView>
  </sheetViews>
  <sheetFormatPr defaultRowHeight="15" x14ac:dyDescent="0.25"/>
  <cols>
    <col min="25" max="25" width="26" customWidth="1"/>
    <col min="26" max="26" width="13.140625" customWidth="1"/>
    <col min="36" max="36" width="12.42578125" customWidth="1"/>
    <col min="58" max="58" width="22.5703125" customWidth="1"/>
    <col min="59" max="59" width="9.140625" style="14"/>
    <col min="60" max="60" width="36.5703125" style="14" customWidth="1"/>
    <col min="102" max="102" width="27.85546875" customWidth="1"/>
  </cols>
  <sheetData>
    <row r="1" spans="1:110" x14ac:dyDescent="0.25">
      <c r="D1" s="13" t="s">
        <v>2</v>
      </c>
      <c r="E1" s="13"/>
      <c r="F1" s="13"/>
      <c r="G1" s="13"/>
      <c r="H1" s="13"/>
    </row>
    <row r="2" spans="1:110" x14ac:dyDescent="0.25">
      <c r="C2" t="s">
        <v>1</v>
      </c>
      <c r="AB2" s="77" t="s">
        <v>148</v>
      </c>
      <c r="AC2" s="77"/>
      <c r="AD2" s="77"/>
    </row>
    <row r="3" spans="1:110" x14ac:dyDescent="0.25">
      <c r="B3" t="s">
        <v>8</v>
      </c>
      <c r="C3" s="12">
        <v>1</v>
      </c>
      <c r="D3" s="12">
        <v>2</v>
      </c>
      <c r="E3" s="12">
        <v>3</v>
      </c>
      <c r="F3" s="12">
        <v>4</v>
      </c>
      <c r="G3" s="12">
        <v>5</v>
      </c>
      <c r="H3" s="12">
        <v>6</v>
      </c>
      <c r="I3" s="12">
        <v>7</v>
      </c>
      <c r="J3" s="12">
        <v>8</v>
      </c>
      <c r="O3" s="13" t="s">
        <v>3</v>
      </c>
      <c r="P3" s="13"/>
      <c r="Q3" s="13"/>
      <c r="R3" s="13"/>
      <c r="S3" s="13"/>
      <c r="Z3" s="79">
        <v>1</v>
      </c>
      <c r="AA3" s="79">
        <v>2</v>
      </c>
      <c r="AB3" s="79">
        <v>3</v>
      </c>
      <c r="AC3" s="79">
        <v>4</v>
      </c>
      <c r="AD3" s="79">
        <v>5</v>
      </c>
      <c r="AE3" s="79">
        <v>6</v>
      </c>
      <c r="AF3" s="79">
        <v>7</v>
      </c>
      <c r="AG3" s="79">
        <v>8</v>
      </c>
      <c r="BT3" s="95" t="s">
        <v>161</v>
      </c>
      <c r="CI3" s="12" t="s">
        <v>163</v>
      </c>
      <c r="CJ3" s="12"/>
      <c r="CK3" s="11" t="s">
        <v>180</v>
      </c>
      <c r="CL3" s="11" t="s">
        <v>181</v>
      </c>
      <c r="DA3" s="77" t="s">
        <v>148</v>
      </c>
      <c r="DB3" s="77"/>
      <c r="DC3" s="77"/>
    </row>
    <row r="4" spans="1:110" x14ac:dyDescent="0.25">
      <c r="B4" s="12">
        <v>1</v>
      </c>
      <c r="C4" s="17" t="s">
        <v>9</v>
      </c>
      <c r="D4" s="17" t="s">
        <v>10</v>
      </c>
      <c r="E4" s="17" t="s">
        <v>11</v>
      </c>
      <c r="F4" s="17" t="s">
        <v>12</v>
      </c>
      <c r="G4" s="17" t="s">
        <v>13</v>
      </c>
      <c r="H4" s="17" t="s">
        <v>14</v>
      </c>
      <c r="I4" s="17" t="s">
        <v>15</v>
      </c>
      <c r="J4" s="17" t="s">
        <v>16</v>
      </c>
      <c r="Y4" s="11" t="s">
        <v>152</v>
      </c>
      <c r="Z4" s="10">
        <v>9</v>
      </c>
      <c r="AA4" s="10">
        <v>14</v>
      </c>
      <c r="AB4" s="10">
        <v>8</v>
      </c>
      <c r="AC4" s="10">
        <v>12</v>
      </c>
      <c r="AD4" s="10">
        <v>1</v>
      </c>
      <c r="AE4" s="10">
        <v>7</v>
      </c>
      <c r="AF4" s="10">
        <v>2</v>
      </c>
      <c r="AG4" s="10">
        <v>5</v>
      </c>
      <c r="BR4" s="95" t="s">
        <v>159</v>
      </c>
      <c r="BS4" s="96" t="s">
        <v>160</v>
      </c>
      <c r="BT4" s="11" t="s">
        <v>162</v>
      </c>
      <c r="BY4" s="82" t="s">
        <v>164</v>
      </c>
      <c r="CC4" s="14">
        <v>1</v>
      </c>
      <c r="CD4" s="14">
        <v>2</v>
      </c>
      <c r="CI4" s="14">
        <v>0</v>
      </c>
      <c r="CJ4" s="14" t="s">
        <v>165</v>
      </c>
      <c r="CK4" s="14">
        <v>11</v>
      </c>
      <c r="CL4" s="14">
        <v>1</v>
      </c>
      <c r="CP4" s="13" t="s">
        <v>3</v>
      </c>
      <c r="CQ4" s="13"/>
      <c r="CR4" s="13"/>
      <c r="CS4" s="13"/>
      <c r="CT4" s="13"/>
      <c r="CY4" s="79">
        <v>1</v>
      </c>
      <c r="CZ4" s="79">
        <v>2</v>
      </c>
      <c r="DA4" s="79">
        <v>3</v>
      </c>
      <c r="DB4" s="79">
        <v>4</v>
      </c>
      <c r="DC4" s="79">
        <v>5</v>
      </c>
      <c r="DD4" s="79">
        <v>6</v>
      </c>
      <c r="DE4" s="79">
        <v>7</v>
      </c>
      <c r="DF4" s="79">
        <v>8</v>
      </c>
    </row>
    <row r="5" spans="1:110" ht="30" customHeight="1" x14ac:dyDescent="0.25">
      <c r="B5" s="12">
        <v>2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17" t="s">
        <v>22</v>
      </c>
      <c r="I5" s="17" t="s">
        <v>23</v>
      </c>
      <c r="J5" s="17" t="s">
        <v>24</v>
      </c>
      <c r="M5" t="s">
        <v>6</v>
      </c>
      <c r="N5" s="15">
        <v>16</v>
      </c>
      <c r="O5" s="15">
        <v>15</v>
      </c>
      <c r="P5" s="15">
        <v>14</v>
      </c>
      <c r="Q5" s="15">
        <v>13</v>
      </c>
      <c r="R5" s="15">
        <v>12</v>
      </c>
      <c r="S5" s="15">
        <v>11</v>
      </c>
      <c r="T5" s="15">
        <v>10</v>
      </c>
      <c r="U5" s="15">
        <v>9</v>
      </c>
      <c r="Y5" s="11" t="s">
        <v>153</v>
      </c>
      <c r="Z5" s="10">
        <v>13</v>
      </c>
      <c r="AA5" s="10">
        <v>3</v>
      </c>
      <c r="AB5" s="10">
        <v>4</v>
      </c>
      <c r="AC5" s="10">
        <v>10</v>
      </c>
      <c r="AD5" s="10">
        <v>6</v>
      </c>
      <c r="AE5" s="10">
        <v>11</v>
      </c>
      <c r="AF5" s="10">
        <v>15</v>
      </c>
      <c r="AG5" s="10">
        <v>16</v>
      </c>
      <c r="AN5" s="77" t="s">
        <v>154</v>
      </c>
      <c r="AO5" s="77"/>
      <c r="AP5" s="77"/>
      <c r="AY5" s="77" t="s">
        <v>155</v>
      </c>
      <c r="AZ5" s="77"/>
      <c r="BA5" s="77"/>
      <c r="BR5" s="14">
        <v>117</v>
      </c>
      <c r="BS5" s="18">
        <v>1</v>
      </c>
      <c r="BT5" s="12">
        <f>PRODUCT(BR5*BR5,BS5)</f>
        <v>13689</v>
      </c>
      <c r="CC5" s="14">
        <v>3</v>
      </c>
      <c r="CD5" s="14">
        <v>4</v>
      </c>
      <c r="CI5" s="14">
        <v>1</v>
      </c>
      <c r="CJ5" s="14" t="s">
        <v>166</v>
      </c>
      <c r="CK5" s="14">
        <v>12</v>
      </c>
      <c r="CL5" s="14">
        <v>2</v>
      </c>
      <c r="CX5" s="11" t="s">
        <v>152</v>
      </c>
      <c r="CY5" s="10">
        <v>9</v>
      </c>
      <c r="CZ5" s="10">
        <v>14</v>
      </c>
      <c r="DA5" s="10">
        <v>8</v>
      </c>
      <c r="DB5" s="10">
        <v>12</v>
      </c>
      <c r="DC5" s="10">
        <v>1</v>
      </c>
      <c r="DD5" s="10">
        <v>7</v>
      </c>
      <c r="DE5" s="10">
        <v>2</v>
      </c>
      <c r="DF5" s="10">
        <v>5</v>
      </c>
    </row>
    <row r="6" spans="1:110" ht="30" customHeight="1" x14ac:dyDescent="0.25">
      <c r="A6" t="s">
        <v>0</v>
      </c>
      <c r="B6" s="12">
        <v>3</v>
      </c>
      <c r="C6" s="17" t="s">
        <v>68</v>
      </c>
      <c r="D6" s="17" t="s">
        <v>69</v>
      </c>
      <c r="E6" s="17" t="s">
        <v>70</v>
      </c>
      <c r="F6" s="17" t="s">
        <v>71</v>
      </c>
      <c r="G6" s="17" t="s">
        <v>72</v>
      </c>
      <c r="H6" s="17" t="s">
        <v>73</v>
      </c>
      <c r="I6" s="17" t="s">
        <v>74</v>
      </c>
      <c r="J6" s="17" t="s">
        <v>75</v>
      </c>
      <c r="M6" s="12" t="s">
        <v>4</v>
      </c>
      <c r="N6" s="12">
        <v>8</v>
      </c>
      <c r="O6" s="12">
        <v>7</v>
      </c>
      <c r="P6" s="12"/>
      <c r="Q6" s="12">
        <v>1</v>
      </c>
      <c r="R6" s="12"/>
      <c r="S6" s="12">
        <v>6</v>
      </c>
      <c r="T6" s="12">
        <v>4</v>
      </c>
      <c r="U6" s="12"/>
      <c r="AL6" s="14"/>
      <c r="AM6" s="14"/>
      <c r="AQ6" s="14"/>
      <c r="AR6" s="14"/>
      <c r="AS6" s="80"/>
      <c r="AW6" s="80">
        <v>10000000</v>
      </c>
      <c r="AX6" s="80">
        <v>1000000</v>
      </c>
      <c r="AY6" s="80">
        <v>100000</v>
      </c>
      <c r="AZ6" s="80">
        <v>10000</v>
      </c>
      <c r="BA6" s="80">
        <v>1000</v>
      </c>
      <c r="BB6" s="80">
        <v>100</v>
      </c>
      <c r="BC6" s="80">
        <v>10</v>
      </c>
      <c r="BD6" s="80">
        <v>1</v>
      </c>
      <c r="BR6" s="14">
        <v>27</v>
      </c>
      <c r="BS6" s="18">
        <v>2</v>
      </c>
      <c r="BT6" s="12">
        <f t="shared" ref="BT6:BT68" si="0">PRODUCT(BR6*BR6,BS6)</f>
        <v>1458</v>
      </c>
      <c r="CC6" s="14">
        <v>5</v>
      </c>
      <c r="CD6" s="14">
        <v>6</v>
      </c>
      <c r="CI6" s="14">
        <v>2</v>
      </c>
      <c r="CJ6" s="14" t="s">
        <v>167</v>
      </c>
      <c r="CK6" s="14">
        <v>13</v>
      </c>
      <c r="CL6" s="14">
        <v>3</v>
      </c>
      <c r="CN6" t="s">
        <v>6</v>
      </c>
      <c r="CO6" s="15">
        <v>16</v>
      </c>
      <c r="CP6" s="15">
        <v>15</v>
      </c>
      <c r="CQ6" s="15">
        <v>14</v>
      </c>
      <c r="CR6" s="15">
        <v>13</v>
      </c>
      <c r="CS6" s="15">
        <v>12</v>
      </c>
      <c r="CT6" s="15">
        <v>11</v>
      </c>
      <c r="CU6" s="15">
        <v>10</v>
      </c>
      <c r="CV6" s="15">
        <v>9</v>
      </c>
      <c r="CX6" s="11" t="s">
        <v>153</v>
      </c>
      <c r="CY6" s="10">
        <v>13</v>
      </c>
      <c r="CZ6" s="10">
        <v>3</v>
      </c>
      <c r="DA6" s="10">
        <v>4</v>
      </c>
      <c r="DB6" s="10">
        <v>10</v>
      </c>
      <c r="DC6" s="10">
        <v>6</v>
      </c>
      <c r="DD6" s="10">
        <v>11</v>
      </c>
      <c r="DE6" s="10">
        <v>15</v>
      </c>
      <c r="DF6" s="10">
        <v>16</v>
      </c>
    </row>
    <row r="7" spans="1:110" ht="30" customHeight="1" thickBot="1" x14ac:dyDescent="0.3">
      <c r="B7" s="12">
        <v>4</v>
      </c>
      <c r="C7" s="17" t="s">
        <v>25</v>
      </c>
      <c r="D7" s="17" t="s">
        <v>26</v>
      </c>
      <c r="E7" s="17" t="s">
        <v>27</v>
      </c>
      <c r="F7" s="17" t="s">
        <v>28</v>
      </c>
      <c r="G7" s="17" t="s">
        <v>29</v>
      </c>
      <c r="H7" s="17" t="s">
        <v>30</v>
      </c>
      <c r="I7" s="17" t="s">
        <v>31</v>
      </c>
      <c r="J7" s="17" t="s">
        <v>32</v>
      </c>
      <c r="M7" s="12" t="s">
        <v>5</v>
      </c>
      <c r="N7" s="12"/>
      <c r="O7" s="12"/>
      <c r="P7" s="12">
        <v>2</v>
      </c>
      <c r="Q7" s="12"/>
      <c r="R7" s="12">
        <v>4</v>
      </c>
      <c r="S7" s="12"/>
      <c r="T7" s="12"/>
      <c r="U7" s="12">
        <v>1</v>
      </c>
      <c r="AL7" s="12">
        <v>1</v>
      </c>
      <c r="AM7" s="12">
        <v>2</v>
      </c>
      <c r="AN7" s="12">
        <v>3</v>
      </c>
      <c r="AO7" s="12">
        <v>4</v>
      </c>
      <c r="AP7" s="12">
        <v>5</v>
      </c>
      <c r="AQ7" s="12">
        <v>6</v>
      </c>
      <c r="AR7" s="12">
        <v>7</v>
      </c>
      <c r="AS7" s="12">
        <v>8</v>
      </c>
      <c r="AW7" s="12">
        <v>1</v>
      </c>
      <c r="AX7" s="12">
        <v>2</v>
      </c>
      <c r="AY7" s="12">
        <v>3</v>
      </c>
      <c r="AZ7" s="12">
        <v>4</v>
      </c>
      <c r="BA7" s="12">
        <v>5</v>
      </c>
      <c r="BB7" s="12">
        <v>6</v>
      </c>
      <c r="BC7" s="12">
        <v>7</v>
      </c>
      <c r="BD7" s="12">
        <v>8</v>
      </c>
      <c r="BE7" s="12" t="s">
        <v>157</v>
      </c>
      <c r="BF7" s="83" t="s">
        <v>156</v>
      </c>
      <c r="BI7" s="14">
        <v>1</v>
      </c>
      <c r="BJ7" s="14">
        <v>2</v>
      </c>
      <c r="BK7" s="14">
        <v>3</v>
      </c>
      <c r="BL7" s="14">
        <v>4</v>
      </c>
      <c r="BM7" s="14">
        <v>5</v>
      </c>
      <c r="BN7" s="14">
        <v>8</v>
      </c>
      <c r="BO7" s="14">
        <v>7</v>
      </c>
      <c r="BP7" s="14">
        <v>8</v>
      </c>
      <c r="BR7" s="14">
        <v>36</v>
      </c>
      <c r="BS7" s="18">
        <v>3</v>
      </c>
      <c r="BT7" s="12">
        <f t="shared" si="0"/>
        <v>3888</v>
      </c>
      <c r="CC7" s="14">
        <v>7</v>
      </c>
      <c r="CD7" s="14">
        <v>8</v>
      </c>
      <c r="CI7" s="14">
        <v>3</v>
      </c>
      <c r="CJ7" s="14" t="s">
        <v>168</v>
      </c>
      <c r="CK7" s="14">
        <v>15</v>
      </c>
      <c r="CL7" s="14">
        <v>4</v>
      </c>
      <c r="CN7" s="12" t="s">
        <v>4</v>
      </c>
      <c r="CO7" s="12">
        <v>8</v>
      </c>
      <c r="CP7" s="12">
        <v>7</v>
      </c>
      <c r="CQ7" s="12"/>
      <c r="CR7" s="12">
        <v>1</v>
      </c>
      <c r="CS7" s="12"/>
      <c r="CT7" s="12">
        <v>6</v>
      </c>
      <c r="CU7" s="12">
        <v>4</v>
      </c>
      <c r="CV7" s="12"/>
    </row>
    <row r="8" spans="1:110" ht="30" customHeight="1" thickBot="1" x14ac:dyDescent="0.3">
      <c r="B8" s="12">
        <v>5</v>
      </c>
      <c r="C8" s="17" t="s">
        <v>33</v>
      </c>
      <c r="D8" s="17" t="s">
        <v>34</v>
      </c>
      <c r="E8" s="17" t="s">
        <v>35</v>
      </c>
      <c r="F8" s="17" t="s">
        <v>36</v>
      </c>
      <c r="G8" s="17" t="s">
        <v>37</v>
      </c>
      <c r="H8" s="17" t="s">
        <v>38</v>
      </c>
      <c r="I8" s="17" t="s">
        <v>39</v>
      </c>
      <c r="J8" s="17" t="s">
        <v>40</v>
      </c>
      <c r="M8" s="12"/>
      <c r="Y8" s="12" t="s">
        <v>76</v>
      </c>
      <c r="Z8" s="12" t="s">
        <v>149</v>
      </c>
      <c r="AJ8" s="14"/>
      <c r="AK8" s="12">
        <v>1</v>
      </c>
      <c r="AL8" s="1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3">
        <v>0</v>
      </c>
      <c r="AU8" s="80"/>
      <c r="AV8" s="12">
        <v>1</v>
      </c>
      <c r="AW8" s="81">
        <f>IF(AL8=1,1,0)</f>
        <v>0</v>
      </c>
      <c r="AX8" s="81">
        <f t="shared" ref="AX8:BD9" si="1">IF(AM8=1,1,0)</f>
        <v>0</v>
      </c>
      <c r="AY8" s="81">
        <f t="shared" si="1"/>
        <v>0</v>
      </c>
      <c r="AZ8" s="81">
        <f t="shared" si="1"/>
        <v>0</v>
      </c>
      <c r="BA8" s="81">
        <f t="shared" si="1"/>
        <v>0</v>
      </c>
      <c r="BB8" s="81">
        <f t="shared" si="1"/>
        <v>0</v>
      </c>
      <c r="BC8" s="81">
        <f t="shared" si="1"/>
        <v>0</v>
      </c>
      <c r="BD8" s="81">
        <f t="shared" si="1"/>
        <v>0</v>
      </c>
      <c r="BE8" s="67">
        <v>9</v>
      </c>
      <c r="BF8" s="84">
        <f>SUM(AW8*AW6,AX8*AX6,AY8*AY6,AZ8*AZ6,BA8*BA6,BB8*BB6,BC8*BC6,BD8*BD6)</f>
        <v>0</v>
      </c>
      <c r="BH8" s="94">
        <v>1</v>
      </c>
      <c r="BI8" s="86">
        <f>PRODUCT(BE8,AW16)</f>
        <v>117</v>
      </c>
      <c r="BJ8" s="87">
        <f>PRODUCT(BE8,AX16)</f>
        <v>27</v>
      </c>
      <c r="BK8" s="87">
        <f>PRODUCT(BE8,AY16)</f>
        <v>36</v>
      </c>
      <c r="BL8" s="87">
        <f>PRODUCT(BE8,AZ16)</f>
        <v>90</v>
      </c>
      <c r="BM8" s="87">
        <f>PRODUCT(BE8,BA16)</f>
        <v>54</v>
      </c>
      <c r="BN8" s="87">
        <f>PRODUCT(BE8,BB16)</f>
        <v>99</v>
      </c>
      <c r="BO8" s="87">
        <f>PRODUCT(BE8,BC16)</f>
        <v>135</v>
      </c>
      <c r="BP8" s="88">
        <f>PRODUCT(BE8,BD16)</f>
        <v>144</v>
      </c>
      <c r="BR8" s="14">
        <v>90</v>
      </c>
      <c r="BS8" s="18">
        <v>4</v>
      </c>
      <c r="BT8" s="12">
        <f t="shared" si="0"/>
        <v>32400</v>
      </c>
      <c r="CC8" s="14">
        <v>9</v>
      </c>
      <c r="CD8" s="14">
        <v>10</v>
      </c>
      <c r="CI8" s="14">
        <v>4</v>
      </c>
      <c r="CJ8" s="14" t="s">
        <v>169</v>
      </c>
      <c r="CK8" s="14">
        <v>16</v>
      </c>
      <c r="CL8" s="14">
        <v>5</v>
      </c>
      <c r="CN8" s="12" t="s">
        <v>5</v>
      </c>
      <c r="CO8" s="12"/>
      <c r="CP8" s="12"/>
      <c r="CQ8" s="12">
        <v>2</v>
      </c>
      <c r="CR8" s="12"/>
      <c r="CS8" s="12">
        <v>4</v>
      </c>
      <c r="CT8" s="12"/>
      <c r="CU8" s="12"/>
      <c r="CV8" s="12">
        <v>1</v>
      </c>
    </row>
    <row r="9" spans="1:110" ht="30" customHeight="1" thickBot="1" x14ac:dyDescent="0.3">
      <c r="B9" s="12">
        <v>6</v>
      </c>
      <c r="C9" s="17" t="s">
        <v>41</v>
      </c>
      <c r="D9" s="17" t="s">
        <v>42</v>
      </c>
      <c r="E9" s="17" t="s">
        <v>43</v>
      </c>
      <c r="F9" s="17" t="s">
        <v>44</v>
      </c>
      <c r="G9" s="17" t="s">
        <v>45</v>
      </c>
      <c r="H9" s="17" t="s">
        <v>46</v>
      </c>
      <c r="I9" s="17" t="s">
        <v>47</v>
      </c>
      <c r="J9" s="17" t="s">
        <v>48</v>
      </c>
      <c r="M9" s="12" t="s">
        <v>4</v>
      </c>
      <c r="N9" s="12"/>
      <c r="O9" s="12"/>
      <c r="P9" s="12">
        <v>2</v>
      </c>
      <c r="Q9" s="12">
        <v>3</v>
      </c>
      <c r="R9" s="12"/>
      <c r="S9" s="12">
        <v>5</v>
      </c>
      <c r="T9" s="12"/>
      <c r="U9" s="12"/>
      <c r="Y9" s="12" t="s">
        <v>77</v>
      </c>
      <c r="Z9" s="14">
        <v>1</v>
      </c>
      <c r="AA9" s="14">
        <v>2</v>
      </c>
      <c r="AB9" s="14">
        <v>5</v>
      </c>
      <c r="AC9" s="14">
        <v>7</v>
      </c>
      <c r="AD9" s="14">
        <v>8</v>
      </c>
      <c r="AE9" s="14">
        <v>9</v>
      </c>
      <c r="AF9" s="14">
        <v>12</v>
      </c>
      <c r="AG9" s="14">
        <v>14</v>
      </c>
      <c r="AJ9" s="14"/>
      <c r="AK9" s="12">
        <v>2</v>
      </c>
      <c r="AL9" s="4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6">
        <v>0</v>
      </c>
      <c r="AU9" s="80"/>
      <c r="AV9" s="12">
        <v>2</v>
      </c>
      <c r="AW9" s="81">
        <f>IF(AL9=1,1,0)</f>
        <v>0</v>
      </c>
      <c r="AX9" s="81">
        <f t="shared" si="1"/>
        <v>0</v>
      </c>
      <c r="AY9" s="81">
        <f t="shared" si="1"/>
        <v>0</v>
      </c>
      <c r="AZ9" s="81">
        <f t="shared" si="1"/>
        <v>0</v>
      </c>
      <c r="BA9" s="81">
        <f t="shared" si="1"/>
        <v>0</v>
      </c>
      <c r="BB9" s="81">
        <f t="shared" si="1"/>
        <v>0</v>
      </c>
      <c r="BC9" s="81">
        <f t="shared" si="1"/>
        <v>0</v>
      </c>
      <c r="BD9" s="81">
        <f t="shared" si="1"/>
        <v>0</v>
      </c>
      <c r="BE9" s="67">
        <v>14</v>
      </c>
      <c r="BF9" s="84">
        <f>SUM(AW9*AW6,AX9*AX6,AY9*AY6,AZ9*AZ6,BA9*BA6,BB9*BB6,BC9*BC6,BD9*BD6)</f>
        <v>0</v>
      </c>
      <c r="BH9" s="94">
        <v>2</v>
      </c>
      <c r="BI9" s="89">
        <f>PRODUCT(BE9,AW16)</f>
        <v>182</v>
      </c>
      <c r="BJ9" s="85">
        <f>PRODUCT(BE9,AX16)</f>
        <v>42</v>
      </c>
      <c r="BK9" s="85">
        <f>PRODUCT(BE9,AY16)</f>
        <v>56</v>
      </c>
      <c r="BL9" s="85">
        <f>PRODUCT(BE9,AZ16)</f>
        <v>140</v>
      </c>
      <c r="BM9" s="85">
        <f>PRODUCT(BE9,BA16)</f>
        <v>84</v>
      </c>
      <c r="BN9" s="85">
        <f>PRODUCT(BE9,BB16)</f>
        <v>154</v>
      </c>
      <c r="BO9" s="85">
        <f>PRODUCT(BE9,BC16)</f>
        <v>210</v>
      </c>
      <c r="BP9" s="90">
        <f>PRODUCT(BE9,BD16)</f>
        <v>224</v>
      </c>
      <c r="BR9" s="14">
        <v>54</v>
      </c>
      <c r="BS9" s="18">
        <v>5</v>
      </c>
      <c r="BT9" s="12">
        <f t="shared" si="0"/>
        <v>14580</v>
      </c>
      <c r="CC9" s="14">
        <v>11</v>
      </c>
      <c r="CD9" s="14">
        <v>12</v>
      </c>
      <c r="CI9" s="14">
        <v>5</v>
      </c>
      <c r="CJ9" s="14" t="s">
        <v>170</v>
      </c>
      <c r="CK9" s="14">
        <v>18</v>
      </c>
      <c r="CL9" s="14">
        <v>6</v>
      </c>
      <c r="CN9" s="12"/>
      <c r="CX9" s="12" t="s">
        <v>76</v>
      </c>
      <c r="CY9" s="12" t="s">
        <v>149</v>
      </c>
    </row>
    <row r="10" spans="1:110" ht="30" customHeight="1" thickBot="1" x14ac:dyDescent="0.3">
      <c r="B10" s="12">
        <v>7</v>
      </c>
      <c r="C10" s="17" t="s">
        <v>49</v>
      </c>
      <c r="D10" s="17" t="s">
        <v>50</v>
      </c>
      <c r="E10" s="17" t="s">
        <v>51</v>
      </c>
      <c r="F10" s="17" t="s">
        <v>52</v>
      </c>
      <c r="G10" s="17" t="s">
        <v>53</v>
      </c>
      <c r="H10" s="17" t="s">
        <v>54</v>
      </c>
      <c r="I10" s="17" t="s">
        <v>55</v>
      </c>
      <c r="J10" s="17" t="s">
        <v>56</v>
      </c>
      <c r="M10" s="12" t="s">
        <v>5</v>
      </c>
      <c r="N10" s="12">
        <v>5</v>
      </c>
      <c r="O10" s="12">
        <v>7</v>
      </c>
      <c r="P10" s="12"/>
      <c r="Q10" s="12"/>
      <c r="R10" s="12">
        <v>8</v>
      </c>
      <c r="S10" s="12"/>
      <c r="T10" s="12">
        <v>6</v>
      </c>
      <c r="U10" s="12">
        <v>3</v>
      </c>
      <c r="Y10" s="12" t="s">
        <v>78</v>
      </c>
      <c r="Z10" s="14">
        <v>3</v>
      </c>
      <c r="AA10" s="14">
        <v>4</v>
      </c>
      <c r="AB10" s="14">
        <v>6</v>
      </c>
      <c r="AC10" s="14">
        <v>10</v>
      </c>
      <c r="AD10" s="14">
        <v>11</v>
      </c>
      <c r="AE10" s="14">
        <v>13</v>
      </c>
      <c r="AF10" s="14">
        <v>15</v>
      </c>
      <c r="AG10" s="14">
        <v>16</v>
      </c>
      <c r="AJ10" s="14"/>
      <c r="AK10" s="12">
        <v>3</v>
      </c>
      <c r="AL10" s="4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6">
        <v>0</v>
      </c>
      <c r="AU10" s="80"/>
      <c r="AV10" s="12">
        <v>3</v>
      </c>
      <c r="AW10" s="81">
        <f t="shared" ref="AW10:AW15" si="2">IF(AL10=1,1,0)</f>
        <v>0</v>
      </c>
      <c r="AX10" s="81">
        <f t="shared" ref="AX10:AX15" si="3">IF(AM10=1,1,0)</f>
        <v>0</v>
      </c>
      <c r="AY10" s="81">
        <f t="shared" ref="AY10:AY15" si="4">IF(AN10=1,1,0)</f>
        <v>0</v>
      </c>
      <c r="AZ10" s="81">
        <f t="shared" ref="AZ10:AZ15" si="5">IF(AO10=1,1,0)</f>
        <v>0</v>
      </c>
      <c r="BA10" s="81">
        <f t="shared" ref="BA10:BA15" si="6">IF(AP10=1,1,0)</f>
        <v>0</v>
      </c>
      <c r="BB10" s="81">
        <f t="shared" ref="BB10:BB15" si="7">IF(AQ10=1,1,0)</f>
        <v>0</v>
      </c>
      <c r="BC10" s="81">
        <f t="shared" ref="BC10:BC15" si="8">IF(AR10=1,1,0)</f>
        <v>0</v>
      </c>
      <c r="BD10" s="81">
        <f t="shared" ref="BD10:BD15" si="9">IF(AS10=1,1,0)</f>
        <v>0</v>
      </c>
      <c r="BE10" s="67">
        <v>8</v>
      </c>
      <c r="BF10" s="84">
        <f>SUM(AW10*AW6,AX10*AX6,AY10*AY6,AZ10*AZ6,BA10*BA6,BB10*BB6,BC10*BC6,BD10*BD6)</f>
        <v>0</v>
      </c>
      <c r="BH10" s="94">
        <v>3</v>
      </c>
      <c r="BI10" s="89">
        <f>PRODUCT(BE10,AW16)</f>
        <v>104</v>
      </c>
      <c r="BJ10" s="85">
        <f>PRODUCT(BE10,AX16)</f>
        <v>24</v>
      </c>
      <c r="BK10" s="85">
        <f>PRODUCT(BE10,AY16)</f>
        <v>32</v>
      </c>
      <c r="BL10" s="85">
        <f>PRODUCT(BE10,AZ16)</f>
        <v>80</v>
      </c>
      <c r="BM10" s="85">
        <f>PRODUCT(BE10,BA16)</f>
        <v>48</v>
      </c>
      <c r="BN10" s="85">
        <f>PRODUCT(BE10,BB16)</f>
        <v>88</v>
      </c>
      <c r="BO10" s="85">
        <f>PRODUCT(BE10,BC16)</f>
        <v>120</v>
      </c>
      <c r="BP10" s="90">
        <f>PRODUCT(BE10,BD16)</f>
        <v>128</v>
      </c>
      <c r="BR10" s="14">
        <v>99</v>
      </c>
      <c r="BS10" s="18">
        <v>6</v>
      </c>
      <c r="BT10" s="12">
        <f t="shared" si="0"/>
        <v>58806</v>
      </c>
      <c r="CC10" s="14">
        <v>13</v>
      </c>
      <c r="CD10" s="14">
        <v>14</v>
      </c>
      <c r="CI10" s="14">
        <v>6</v>
      </c>
      <c r="CJ10" s="14" t="s">
        <v>171</v>
      </c>
      <c r="CK10" s="14">
        <v>22</v>
      </c>
      <c r="CL10" s="14">
        <v>7</v>
      </c>
      <c r="CN10" s="12" t="s">
        <v>4</v>
      </c>
      <c r="CO10" s="12"/>
      <c r="CP10" s="12"/>
      <c r="CQ10" s="12">
        <v>2</v>
      </c>
      <c r="CR10" s="12">
        <v>3</v>
      </c>
      <c r="CS10" s="12"/>
      <c r="CT10" s="12">
        <v>5</v>
      </c>
      <c r="CU10" s="12"/>
      <c r="CV10" s="12"/>
      <c r="CX10" s="12" t="s">
        <v>77</v>
      </c>
      <c r="CY10" s="14">
        <v>1</v>
      </c>
      <c r="CZ10" s="14">
        <v>2</v>
      </c>
      <c r="DA10" s="14">
        <v>5</v>
      </c>
      <c r="DB10" s="14">
        <v>7</v>
      </c>
      <c r="DC10" s="14">
        <v>8</v>
      </c>
      <c r="DD10" s="14">
        <v>9</v>
      </c>
      <c r="DE10" s="14">
        <v>12</v>
      </c>
      <c r="DF10" s="14">
        <v>14</v>
      </c>
    </row>
    <row r="11" spans="1:110" ht="30" customHeight="1" thickBot="1" x14ac:dyDescent="0.3">
      <c r="B11" s="12">
        <v>8</v>
      </c>
      <c r="C11" s="17" t="s">
        <v>57</v>
      </c>
      <c r="D11" s="17" t="s">
        <v>58</v>
      </c>
      <c r="E11" s="17" t="s">
        <v>59</v>
      </c>
      <c r="F11" s="17" t="s">
        <v>60</v>
      </c>
      <c r="G11" s="17" t="s">
        <v>61</v>
      </c>
      <c r="H11" s="17" t="s">
        <v>62</v>
      </c>
      <c r="I11" s="17" t="s">
        <v>63</v>
      </c>
      <c r="J11" s="17" t="s">
        <v>64</v>
      </c>
      <c r="M11" t="s">
        <v>7</v>
      </c>
      <c r="N11" s="16">
        <v>1</v>
      </c>
      <c r="O11" s="16">
        <v>2</v>
      </c>
      <c r="P11" s="16">
        <v>3</v>
      </c>
      <c r="Q11" s="16">
        <v>4</v>
      </c>
      <c r="R11" s="16">
        <v>5</v>
      </c>
      <c r="S11" s="16">
        <v>6</v>
      </c>
      <c r="T11" s="16">
        <v>7</v>
      </c>
      <c r="U11" s="16">
        <v>8</v>
      </c>
      <c r="Y11" s="12" t="s">
        <v>79</v>
      </c>
      <c r="Z11" s="14">
        <v>4</v>
      </c>
      <c r="AA11" s="14">
        <v>5</v>
      </c>
      <c r="AB11" s="14">
        <v>6</v>
      </c>
      <c r="AC11" s="14">
        <v>7</v>
      </c>
      <c r="AD11" s="14">
        <v>12</v>
      </c>
      <c r="AE11" s="14">
        <v>13</v>
      </c>
      <c r="AF11" s="14">
        <v>14</v>
      </c>
      <c r="AG11" s="14">
        <v>15</v>
      </c>
      <c r="AJ11" s="14"/>
      <c r="AK11" s="12">
        <v>4</v>
      </c>
      <c r="AL11" s="4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6">
        <v>0</v>
      </c>
      <c r="AU11" s="80"/>
      <c r="AV11" s="12">
        <v>4</v>
      </c>
      <c r="AW11" s="81">
        <f t="shared" si="2"/>
        <v>0</v>
      </c>
      <c r="AX11" s="81">
        <f t="shared" si="3"/>
        <v>0</v>
      </c>
      <c r="AY11" s="81">
        <f t="shared" si="4"/>
        <v>0</v>
      </c>
      <c r="AZ11" s="81">
        <f t="shared" si="5"/>
        <v>0</v>
      </c>
      <c r="BA11" s="81">
        <f t="shared" si="6"/>
        <v>0</v>
      </c>
      <c r="BB11" s="81">
        <f t="shared" si="7"/>
        <v>0</v>
      </c>
      <c r="BC11" s="81">
        <f t="shared" si="8"/>
        <v>0</v>
      </c>
      <c r="BD11" s="81">
        <f t="shared" si="9"/>
        <v>0</v>
      </c>
      <c r="BE11" s="67">
        <v>12</v>
      </c>
      <c r="BF11" s="84">
        <f>SUM(AW11*AW6,AX11*AX6,AY11*AY6,AZ11*AZ6,BA11*BA6,BB11*BB6,BC11*BC6,BD11*BD6)</f>
        <v>0</v>
      </c>
      <c r="BH11" s="94">
        <v>4</v>
      </c>
      <c r="BI11" s="89">
        <f>PRODUCT(BE11,AW16)</f>
        <v>156</v>
      </c>
      <c r="BJ11" s="85">
        <f>PRODUCT(BE11,AX16)</f>
        <v>36</v>
      </c>
      <c r="BK11" s="85">
        <f>PRODUCT(BE11,AY16)</f>
        <v>48</v>
      </c>
      <c r="BL11" s="85">
        <f>PRODUCT(BE11,AZ16)</f>
        <v>120</v>
      </c>
      <c r="BM11" s="85">
        <f>PRODUCT(BE11,BA16)</f>
        <v>72</v>
      </c>
      <c r="BN11" s="85">
        <f>PRODUCT(BE11,BB16)</f>
        <v>132</v>
      </c>
      <c r="BO11" s="85">
        <f>PRODUCT(BE11,BC16)</f>
        <v>180</v>
      </c>
      <c r="BP11" s="90">
        <f>PRODUCT(BE11,BD16)</f>
        <v>192</v>
      </c>
      <c r="BR11" s="14">
        <v>135</v>
      </c>
      <c r="BS11" s="18">
        <v>7</v>
      </c>
      <c r="BT11" s="12">
        <f t="shared" si="0"/>
        <v>127575</v>
      </c>
      <c r="CC11" s="14">
        <v>15</v>
      </c>
      <c r="CD11" s="14">
        <v>16</v>
      </c>
      <c r="CI11" s="14">
        <v>7</v>
      </c>
      <c r="CJ11" s="14" t="s">
        <v>172</v>
      </c>
      <c r="CK11" s="14">
        <v>7</v>
      </c>
      <c r="CL11" s="14">
        <v>8</v>
      </c>
      <c r="CN11" s="12" t="s">
        <v>5</v>
      </c>
      <c r="CO11" s="12">
        <v>5</v>
      </c>
      <c r="CP11" s="12">
        <v>7</v>
      </c>
      <c r="CQ11" s="12"/>
      <c r="CR11" s="12"/>
      <c r="CS11" s="12">
        <v>8</v>
      </c>
      <c r="CT11" s="12"/>
      <c r="CU11" s="12">
        <v>6</v>
      </c>
      <c r="CV11" s="12">
        <v>3</v>
      </c>
      <c r="CX11" s="12" t="s">
        <v>78</v>
      </c>
      <c r="CY11" s="14">
        <v>3</v>
      </c>
      <c r="CZ11" s="14">
        <v>4</v>
      </c>
      <c r="DA11" s="14">
        <v>6</v>
      </c>
      <c r="DB11" s="14">
        <v>10</v>
      </c>
      <c r="DC11" s="14">
        <v>11</v>
      </c>
      <c r="DD11" s="14">
        <v>13</v>
      </c>
      <c r="DE11" s="14">
        <v>15</v>
      </c>
      <c r="DF11" s="14">
        <v>16</v>
      </c>
    </row>
    <row r="12" spans="1:110" ht="30" customHeight="1" thickBot="1" x14ac:dyDescent="0.3">
      <c r="Y12" s="12" t="s">
        <v>80</v>
      </c>
      <c r="Z12" s="14">
        <v>1</v>
      </c>
      <c r="AA12" s="14">
        <v>2</v>
      </c>
      <c r="AB12" s="14">
        <v>3</v>
      </c>
      <c r="AC12" s="14">
        <v>8</v>
      </c>
      <c r="AD12" s="14">
        <v>9</v>
      </c>
      <c r="AE12" s="14">
        <v>10</v>
      </c>
      <c r="AF12" s="14">
        <v>11</v>
      </c>
      <c r="AG12" s="14">
        <v>16</v>
      </c>
      <c r="AJ12" s="14"/>
      <c r="AK12" s="12">
        <v>5</v>
      </c>
      <c r="AL12" s="4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6">
        <v>0</v>
      </c>
      <c r="AU12" s="80"/>
      <c r="AV12" s="12">
        <v>5</v>
      </c>
      <c r="AW12" s="81">
        <f t="shared" si="2"/>
        <v>0</v>
      </c>
      <c r="AX12" s="81">
        <f t="shared" si="3"/>
        <v>0</v>
      </c>
      <c r="AY12" s="81">
        <f t="shared" si="4"/>
        <v>0</v>
      </c>
      <c r="AZ12" s="81">
        <f t="shared" si="5"/>
        <v>0</v>
      </c>
      <c r="BA12" s="81">
        <f t="shared" si="6"/>
        <v>0</v>
      </c>
      <c r="BB12" s="81">
        <f t="shared" si="7"/>
        <v>0</v>
      </c>
      <c r="BC12" s="81">
        <f t="shared" si="8"/>
        <v>0</v>
      </c>
      <c r="BD12" s="81">
        <f t="shared" si="9"/>
        <v>0</v>
      </c>
      <c r="BE12" s="67">
        <v>1</v>
      </c>
      <c r="BF12" s="84">
        <f>SUM(AW12*AW6,AX12*AX6,AY12*AY6,AZ12*AZ6,BA12*BA6,BB12*BB6,BC12*BC6,BD12*BD6)</f>
        <v>0</v>
      </c>
      <c r="BH12" s="94">
        <v>5</v>
      </c>
      <c r="BI12" s="89">
        <f>PRODUCT(BE12,AW16)</f>
        <v>13</v>
      </c>
      <c r="BJ12" s="85">
        <f>PRODUCT(BE12,AX16)</f>
        <v>3</v>
      </c>
      <c r="BK12" s="85">
        <f>PRODUCT(BE12,AY16)</f>
        <v>4</v>
      </c>
      <c r="BL12" s="85">
        <f>PRODUCT(BE12,AZ16)</f>
        <v>10</v>
      </c>
      <c r="BM12" s="85">
        <f>PRODUCT(BE12,BA16)</f>
        <v>6</v>
      </c>
      <c r="BN12" s="85">
        <f>PRODUCT(BE12,BB16)</f>
        <v>11</v>
      </c>
      <c r="BO12" s="85">
        <f>PRODUCT(BE12,BC16)</f>
        <v>15</v>
      </c>
      <c r="BP12" s="90">
        <f>PRODUCT(BE12,BD16)</f>
        <v>16</v>
      </c>
      <c r="BR12" s="14">
        <v>144</v>
      </c>
      <c r="BS12" s="18">
        <v>8</v>
      </c>
      <c r="BT12" s="12">
        <f t="shared" si="0"/>
        <v>165888</v>
      </c>
      <c r="CC12" s="14">
        <v>17</v>
      </c>
      <c r="CD12" s="14">
        <v>18</v>
      </c>
      <c r="CI12" s="14">
        <v>8</v>
      </c>
      <c r="CJ12" s="14" t="s">
        <v>173</v>
      </c>
      <c r="CK12" s="14">
        <v>3</v>
      </c>
      <c r="CL12" s="14">
        <v>9</v>
      </c>
      <c r="CN12" t="s">
        <v>7</v>
      </c>
      <c r="CO12" s="16">
        <v>1</v>
      </c>
      <c r="CP12" s="16">
        <v>2</v>
      </c>
      <c r="CQ12" s="16">
        <v>3</v>
      </c>
      <c r="CR12" s="16">
        <v>4</v>
      </c>
      <c r="CS12" s="16">
        <v>5</v>
      </c>
      <c r="CT12" s="16">
        <v>6</v>
      </c>
      <c r="CU12" s="16">
        <v>7</v>
      </c>
      <c r="CV12" s="16">
        <v>8</v>
      </c>
      <c r="CX12" s="12" t="s">
        <v>79</v>
      </c>
      <c r="CY12" s="14">
        <v>4</v>
      </c>
      <c r="CZ12" s="14">
        <v>5</v>
      </c>
      <c r="DA12" s="14">
        <v>6</v>
      </c>
      <c r="DB12" s="14">
        <v>7</v>
      </c>
      <c r="DC12" s="14">
        <v>12</v>
      </c>
      <c r="DD12" s="14">
        <v>13</v>
      </c>
      <c r="DE12" s="14">
        <v>14</v>
      </c>
      <c r="DF12" s="14">
        <v>15</v>
      </c>
    </row>
    <row r="13" spans="1:110" ht="30" customHeight="1" thickBot="1" x14ac:dyDescent="0.3">
      <c r="D13" s="74" t="s">
        <v>147</v>
      </c>
      <c r="E13" s="74"/>
      <c r="F13" s="74"/>
      <c r="G13" s="74"/>
      <c r="H13" s="74"/>
      <c r="O13" s="75" t="s">
        <v>148</v>
      </c>
      <c r="P13" s="75"/>
      <c r="Q13" s="75"/>
      <c r="R13" s="75"/>
      <c r="S13" s="75"/>
      <c r="T13" s="75"/>
      <c r="Y13" s="12" t="s">
        <v>82</v>
      </c>
      <c r="Z13" s="14">
        <v>1</v>
      </c>
      <c r="AA13" s="14">
        <v>2</v>
      </c>
      <c r="AB13" s="14">
        <v>8</v>
      </c>
      <c r="AC13" s="14">
        <v>9</v>
      </c>
      <c r="AD13" s="14"/>
      <c r="AE13" s="14"/>
      <c r="AF13" s="14"/>
      <c r="AG13" s="14"/>
      <c r="AJ13" s="14"/>
      <c r="AK13" s="12">
        <v>6</v>
      </c>
      <c r="AL13" s="4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6">
        <v>0</v>
      </c>
      <c r="AU13" s="80"/>
      <c r="AV13" s="12">
        <v>6</v>
      </c>
      <c r="AW13" s="81">
        <f t="shared" si="2"/>
        <v>0</v>
      </c>
      <c r="AX13" s="81">
        <f t="shared" si="3"/>
        <v>0</v>
      </c>
      <c r="AY13" s="81">
        <f t="shared" si="4"/>
        <v>0</v>
      </c>
      <c r="AZ13" s="81">
        <f t="shared" si="5"/>
        <v>0</v>
      </c>
      <c r="BA13" s="81">
        <f t="shared" si="6"/>
        <v>0</v>
      </c>
      <c r="BB13" s="81">
        <f t="shared" si="7"/>
        <v>0</v>
      </c>
      <c r="BC13" s="81">
        <f t="shared" si="8"/>
        <v>0</v>
      </c>
      <c r="BD13" s="81">
        <f t="shared" si="9"/>
        <v>0</v>
      </c>
      <c r="BE13" s="67">
        <v>7</v>
      </c>
      <c r="BF13" s="84">
        <f>SUM(AW13*AW6,AX13*AX6,AY13*AY6,AZ13*AZ6,BA13*BA6,BB13*BB6,BC13*BC6,BD13*BD6)</f>
        <v>0</v>
      </c>
      <c r="BH13" s="94">
        <v>6</v>
      </c>
      <c r="BI13" s="89">
        <f>PRODUCT(BE13,AW16)</f>
        <v>91</v>
      </c>
      <c r="BJ13" s="85">
        <f>PRODUCT(BE13,AX16)</f>
        <v>21</v>
      </c>
      <c r="BK13" s="85">
        <f>PRODUCT(BE13,AY16)</f>
        <v>28</v>
      </c>
      <c r="BL13" s="85">
        <f>PRODUCT(BE13,AZ16)</f>
        <v>70</v>
      </c>
      <c r="BM13" s="85">
        <f>PRODUCT(BE13,BA16)</f>
        <v>42</v>
      </c>
      <c r="BN13" s="85">
        <f>PRODUCT(BE13,BB16)</f>
        <v>77</v>
      </c>
      <c r="BO13" s="85">
        <f>PRODUCT(BE13,BC16)</f>
        <v>105</v>
      </c>
      <c r="BP13" s="90">
        <f>PRODUCT(BE13,BD16)</f>
        <v>112</v>
      </c>
      <c r="BR13" s="14">
        <v>182</v>
      </c>
      <c r="BS13" s="18">
        <v>9</v>
      </c>
      <c r="BT13" s="12">
        <f t="shared" si="0"/>
        <v>298116</v>
      </c>
      <c r="CC13" s="14">
        <v>19</v>
      </c>
      <c r="CD13" s="14">
        <v>20</v>
      </c>
      <c r="CI13" s="14">
        <v>9</v>
      </c>
      <c r="CJ13" s="14" t="s">
        <v>174</v>
      </c>
      <c r="CK13" s="14">
        <v>5</v>
      </c>
      <c r="CL13" s="14">
        <v>10</v>
      </c>
      <c r="CX13" s="12" t="s">
        <v>80</v>
      </c>
      <c r="CY13" s="14">
        <v>1</v>
      </c>
      <c r="CZ13" s="14">
        <v>2</v>
      </c>
      <c r="DA13" s="14">
        <v>3</v>
      </c>
      <c r="DB13" s="14">
        <v>8</v>
      </c>
      <c r="DC13" s="14">
        <v>9</v>
      </c>
      <c r="DD13" s="14">
        <v>10</v>
      </c>
      <c r="DE13" s="14">
        <v>11</v>
      </c>
      <c r="DF13" s="14">
        <v>16</v>
      </c>
    </row>
    <row r="14" spans="1:110" ht="30" customHeight="1" thickBot="1" x14ac:dyDescent="0.3">
      <c r="C14" s="12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N14" s="25">
        <v>0</v>
      </c>
      <c r="O14" s="25">
        <v>0</v>
      </c>
      <c r="P14" s="25">
        <v>0</v>
      </c>
      <c r="Q14" s="25">
        <v>0</v>
      </c>
      <c r="R14" s="25">
        <v>0</v>
      </c>
      <c r="S14" s="25">
        <v>0</v>
      </c>
      <c r="T14" s="25">
        <v>0</v>
      </c>
      <c r="U14" s="25">
        <v>0</v>
      </c>
      <c r="Y14" s="12" t="s">
        <v>81</v>
      </c>
      <c r="Z14" s="14">
        <v>5</v>
      </c>
      <c r="AA14" s="14">
        <v>7</v>
      </c>
      <c r="AB14" s="14">
        <v>12</v>
      </c>
      <c r="AC14" s="14">
        <v>14</v>
      </c>
      <c r="AD14" s="14"/>
      <c r="AE14" s="14"/>
      <c r="AF14" s="14"/>
      <c r="AG14" s="14"/>
      <c r="AJ14" s="14"/>
      <c r="AK14" s="12">
        <v>7</v>
      </c>
      <c r="AL14" s="4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6">
        <v>0</v>
      </c>
      <c r="AU14" s="80"/>
      <c r="AV14" s="12">
        <v>7</v>
      </c>
      <c r="AW14" s="81">
        <f t="shared" si="2"/>
        <v>0</v>
      </c>
      <c r="AX14" s="81">
        <f t="shared" si="3"/>
        <v>0</v>
      </c>
      <c r="AY14" s="81">
        <f t="shared" si="4"/>
        <v>0</v>
      </c>
      <c r="AZ14" s="81">
        <f t="shared" si="5"/>
        <v>0</v>
      </c>
      <c r="BA14" s="81">
        <f t="shared" si="6"/>
        <v>0</v>
      </c>
      <c r="BB14" s="81">
        <f t="shared" si="7"/>
        <v>0</v>
      </c>
      <c r="BC14" s="81">
        <f t="shared" si="8"/>
        <v>0</v>
      </c>
      <c r="BD14" s="81">
        <f t="shared" si="9"/>
        <v>0</v>
      </c>
      <c r="BE14" s="67">
        <v>2</v>
      </c>
      <c r="BF14" s="84">
        <f>SUM(AW14*AW6,AX14*AX6,AY14*AY6,AZ14*AZ6,BA14*BA6,BB14*BB6,BC14*BC6,BD14*BD6)</f>
        <v>0</v>
      </c>
      <c r="BH14" s="94">
        <v>7</v>
      </c>
      <c r="BI14" s="89">
        <f>PRODUCT(BE14,AW16)</f>
        <v>26</v>
      </c>
      <c r="BJ14" s="85">
        <f>PRODUCT(BE14,AX16)</f>
        <v>6</v>
      </c>
      <c r="BK14" s="85">
        <f>PRODUCT(BE14,AY16)</f>
        <v>8</v>
      </c>
      <c r="BL14" s="85">
        <f>PRODUCT(BE14,AZ16)</f>
        <v>20</v>
      </c>
      <c r="BM14" s="85">
        <f>PRODUCT(BE14,BA16)</f>
        <v>12</v>
      </c>
      <c r="BN14" s="85">
        <f>PRODUCT(BE14,BB16)</f>
        <v>22</v>
      </c>
      <c r="BO14" s="85">
        <f>PRODUCT(BE14,BC16)</f>
        <v>30</v>
      </c>
      <c r="BP14" s="90">
        <f>PRODUCT(BE14,BD16)</f>
        <v>32</v>
      </c>
      <c r="BR14" s="14">
        <v>42</v>
      </c>
      <c r="BS14" s="18">
        <v>10</v>
      </c>
      <c r="BT14" s="12">
        <f t="shared" si="0"/>
        <v>17640</v>
      </c>
      <c r="CC14" s="14">
        <v>21</v>
      </c>
      <c r="CD14" s="14">
        <v>22</v>
      </c>
      <c r="CI14" s="14">
        <v>10</v>
      </c>
      <c r="CJ14" s="14" t="s">
        <v>175</v>
      </c>
      <c r="CK14" s="14">
        <v>24</v>
      </c>
      <c r="CL14" s="14">
        <v>11</v>
      </c>
      <c r="CX14" s="12" t="s">
        <v>82</v>
      </c>
      <c r="CY14" s="14">
        <v>1</v>
      </c>
      <c r="CZ14" s="14">
        <v>2</v>
      </c>
      <c r="DA14" s="14">
        <v>8</v>
      </c>
      <c r="DB14" s="14">
        <v>9</v>
      </c>
      <c r="DC14" s="14"/>
      <c r="DD14" s="14"/>
      <c r="DE14" s="14"/>
      <c r="DF14" s="14"/>
    </row>
    <row r="15" spans="1:110" ht="30" customHeight="1" thickBot="1" x14ac:dyDescent="0.3">
      <c r="B15" s="12">
        <v>1</v>
      </c>
      <c r="C15" s="17" t="b">
        <f>_xlfn.XOR(U14,Q14)</f>
        <v>0</v>
      </c>
      <c r="D15" s="17" t="b">
        <f>_xlfn.XOR(U14,P17)</f>
        <v>0</v>
      </c>
      <c r="E15" s="17" t="b">
        <f>_xlfn.XOR(U14,Q17)</f>
        <v>0</v>
      </c>
      <c r="F15" s="17" t="b">
        <f>_xlfn.XOR(U14,T14)</f>
        <v>0</v>
      </c>
      <c r="G15" s="17" t="b">
        <f>_xlfn.XOR(U14,S17)</f>
        <v>0</v>
      </c>
      <c r="H15" s="17" t="b">
        <f>_xlfn.XOR(U14,S14)</f>
        <v>0</v>
      </c>
      <c r="I15" s="17" t="b">
        <f>_xlfn.XOR(U14,O14)</f>
        <v>0</v>
      </c>
      <c r="J15" s="17" t="b">
        <f>_xlfn.XOR(U14,N14)</f>
        <v>0</v>
      </c>
      <c r="M15" s="19" t="s">
        <v>6</v>
      </c>
      <c r="N15" s="22">
        <v>16</v>
      </c>
      <c r="O15" s="23">
        <v>15</v>
      </c>
      <c r="P15" s="23">
        <v>14</v>
      </c>
      <c r="Q15" s="23">
        <v>13</v>
      </c>
      <c r="R15" s="23">
        <v>12</v>
      </c>
      <c r="S15" s="23">
        <v>11</v>
      </c>
      <c r="T15" s="23">
        <v>10</v>
      </c>
      <c r="U15" s="23">
        <v>9</v>
      </c>
      <c r="Y15" s="12" t="s">
        <v>83</v>
      </c>
      <c r="Z15" s="14">
        <v>4</v>
      </c>
      <c r="AA15" s="14">
        <v>6</v>
      </c>
      <c r="AB15" s="14">
        <v>13</v>
      </c>
      <c r="AC15" s="14">
        <v>15</v>
      </c>
      <c r="AD15" s="14"/>
      <c r="AE15" s="14"/>
      <c r="AF15" s="14"/>
      <c r="AG15" s="14"/>
      <c r="AJ15" s="14"/>
      <c r="AK15" s="12">
        <v>8</v>
      </c>
      <c r="AL15" s="7">
        <v>0</v>
      </c>
      <c r="AM15" s="8">
        <v>0</v>
      </c>
      <c r="AN15" s="8">
        <v>0</v>
      </c>
      <c r="AO15" s="8">
        <v>0</v>
      </c>
      <c r="AP15" s="8">
        <v>0</v>
      </c>
      <c r="AQ15" s="8">
        <v>0</v>
      </c>
      <c r="AR15" s="8">
        <v>0</v>
      </c>
      <c r="AS15" s="9">
        <v>0</v>
      </c>
      <c r="AU15" s="80"/>
      <c r="AV15" s="12">
        <v>8</v>
      </c>
      <c r="AW15" s="81">
        <f t="shared" si="2"/>
        <v>0</v>
      </c>
      <c r="AX15" s="81">
        <f t="shared" si="3"/>
        <v>0</v>
      </c>
      <c r="AY15" s="81">
        <f t="shared" si="4"/>
        <v>0</v>
      </c>
      <c r="AZ15" s="81">
        <f t="shared" si="5"/>
        <v>0</v>
      </c>
      <c r="BA15" s="81">
        <f t="shared" si="6"/>
        <v>0</v>
      </c>
      <c r="BB15" s="81">
        <f t="shared" si="7"/>
        <v>0</v>
      </c>
      <c r="BC15" s="81">
        <f t="shared" si="8"/>
        <v>0</v>
      </c>
      <c r="BD15" s="81">
        <f t="shared" si="9"/>
        <v>0</v>
      </c>
      <c r="BE15" s="67">
        <v>5</v>
      </c>
      <c r="BF15" s="84">
        <f>SUM(AW15*AW6,AX15*AX6,AY15*AY6,AZ15*AZ6,BA15*BA6,BB15*BB6,BC15*BC6,BD15*BD6)</f>
        <v>0</v>
      </c>
      <c r="BH15" s="94">
        <v>8</v>
      </c>
      <c r="BI15" s="91">
        <f>PRODUCT(BE15,AW16)</f>
        <v>65</v>
      </c>
      <c r="BJ15" s="92">
        <f>PRODUCT(BE15,AX16)</f>
        <v>15</v>
      </c>
      <c r="BK15" s="92">
        <f>PRODUCT(BE15,AY16)</f>
        <v>20</v>
      </c>
      <c r="BL15" s="92">
        <f>PRODUCT(BE15,AZ16)</f>
        <v>50</v>
      </c>
      <c r="BM15" s="92">
        <f>PRODUCT(BE15,BA16)</f>
        <v>30</v>
      </c>
      <c r="BN15" s="92">
        <f>PRODUCT(BE15,BB16)</f>
        <v>55</v>
      </c>
      <c r="BO15" s="92">
        <f>PRODUCT(BE15,BC16)</f>
        <v>75</v>
      </c>
      <c r="BP15" s="93">
        <f>PRODUCT(BE15,BD16)</f>
        <v>80</v>
      </c>
      <c r="BR15" s="14">
        <v>56</v>
      </c>
      <c r="BS15" s="18">
        <v>11</v>
      </c>
      <c r="BT15" s="12">
        <f t="shared" si="0"/>
        <v>34496</v>
      </c>
      <c r="CC15" s="14">
        <v>23</v>
      </c>
      <c r="CD15" s="14">
        <v>24</v>
      </c>
      <c r="CI15" s="14">
        <v>11</v>
      </c>
      <c r="CJ15" s="14" t="s">
        <v>176</v>
      </c>
      <c r="CK15" s="14">
        <v>26</v>
      </c>
      <c r="CL15" s="14">
        <v>12</v>
      </c>
      <c r="CX15" s="12" t="s">
        <v>81</v>
      </c>
      <c r="CY15" s="14">
        <v>5</v>
      </c>
      <c r="CZ15" s="14">
        <v>7</v>
      </c>
      <c r="DA15" s="14">
        <v>12</v>
      </c>
      <c r="DB15" s="14">
        <v>14</v>
      </c>
      <c r="DC15" s="14"/>
      <c r="DD15" s="14"/>
      <c r="DE15" s="14"/>
      <c r="DF15" s="14"/>
    </row>
    <row r="16" spans="1:110" ht="30" customHeight="1" x14ac:dyDescent="0.25">
      <c r="B16" s="12">
        <v>2</v>
      </c>
      <c r="C16" s="17" t="b">
        <f>_xlfn.XOR(P14,Q14)</f>
        <v>0</v>
      </c>
      <c r="D16" s="17" t="b">
        <f>_xlfn.XOR(P14,P17)</f>
        <v>0</v>
      </c>
      <c r="E16" s="17" t="b">
        <f>_xlfn.XOR(P14,Q17)</f>
        <v>0</v>
      </c>
      <c r="F16" s="17" t="b">
        <f>_xlfn.XOR(P14,T14)</f>
        <v>0</v>
      </c>
      <c r="G16" s="17" t="b">
        <f>_xlfn.XOR(P14,S17)</f>
        <v>0</v>
      </c>
      <c r="H16" s="17" t="b">
        <f>_xlfn.XOR(P14,S14)</f>
        <v>0</v>
      </c>
      <c r="I16" s="17" t="b">
        <f>_xlfn.XOR(P14,O14)</f>
        <v>0</v>
      </c>
      <c r="J16" s="17" t="b">
        <f>_xlfn.XOR(P14,N14)</f>
        <v>0</v>
      </c>
      <c r="Y16" s="12" t="s">
        <v>84</v>
      </c>
      <c r="Z16" s="14">
        <v>3</v>
      </c>
      <c r="AA16" s="14">
        <v>10</v>
      </c>
      <c r="AB16" s="14">
        <v>11</v>
      </c>
      <c r="AC16" s="14">
        <v>16</v>
      </c>
      <c r="AD16" s="14"/>
      <c r="AE16" s="14"/>
      <c r="AF16" s="14"/>
      <c r="AG16" s="14"/>
      <c r="AV16" s="12" t="s">
        <v>157</v>
      </c>
      <c r="AW16" s="67">
        <v>13</v>
      </c>
      <c r="AX16" s="67">
        <v>3</v>
      </c>
      <c r="AY16" s="67">
        <v>4</v>
      </c>
      <c r="AZ16" s="67">
        <v>10</v>
      </c>
      <c r="BA16" s="67">
        <v>6</v>
      </c>
      <c r="BB16" s="67">
        <v>11</v>
      </c>
      <c r="BC16" s="67">
        <v>15</v>
      </c>
      <c r="BD16" s="67">
        <v>16</v>
      </c>
      <c r="BR16" s="14">
        <v>140</v>
      </c>
      <c r="BS16" s="18">
        <v>12</v>
      </c>
      <c r="BT16" s="12">
        <f t="shared" si="0"/>
        <v>235200</v>
      </c>
      <c r="CC16" s="14">
        <v>25</v>
      </c>
      <c r="CD16" s="14">
        <v>26</v>
      </c>
      <c r="CI16" s="14">
        <v>21</v>
      </c>
      <c r="CJ16" s="14" t="s">
        <v>182</v>
      </c>
      <c r="CK16" s="14">
        <v>29</v>
      </c>
      <c r="CL16" s="14">
        <v>13</v>
      </c>
      <c r="CX16" s="12" t="s">
        <v>83</v>
      </c>
      <c r="CY16" s="14">
        <v>4</v>
      </c>
      <c r="CZ16" s="14">
        <v>6</v>
      </c>
      <c r="DA16" s="14">
        <v>13</v>
      </c>
      <c r="DB16" s="14">
        <v>15</v>
      </c>
      <c r="DC16" s="14"/>
      <c r="DD16" s="14"/>
      <c r="DE16" s="14"/>
      <c r="DF16" s="14"/>
    </row>
    <row r="17" spans="2:110" ht="30" customHeight="1" x14ac:dyDescent="0.25">
      <c r="B17" s="12">
        <v>3</v>
      </c>
      <c r="C17" s="17" t="b">
        <f>_xlfn.XOR(U17,Q14)</f>
        <v>0</v>
      </c>
      <c r="D17" s="17" t="b">
        <f>_xlfn.XOR(U17,P17)</f>
        <v>0</v>
      </c>
      <c r="E17" s="17" t="b">
        <f>_xlfn.XOR(U17,Q17)</f>
        <v>0</v>
      </c>
      <c r="F17" s="17" t="b">
        <f>_xlfn.XOR(U17,T14)</f>
        <v>0</v>
      </c>
      <c r="G17" s="17" t="b">
        <f>_xlfn.XOR(U17,S17)</f>
        <v>0</v>
      </c>
      <c r="H17" s="17" t="b">
        <f>_xlfn.XOR(U17,S14)</f>
        <v>0</v>
      </c>
      <c r="I17" s="17" t="b">
        <f>_xlfn.XOR(U17,O14)</f>
        <v>0</v>
      </c>
      <c r="J17" s="17" t="b">
        <f>_xlfn.XOR(U17,N14)</f>
        <v>0</v>
      </c>
      <c r="N17" s="25">
        <v>0</v>
      </c>
      <c r="O17" s="25">
        <v>0</v>
      </c>
      <c r="P17" s="25">
        <v>0</v>
      </c>
      <c r="Q17" s="25">
        <v>0</v>
      </c>
      <c r="R17" s="25">
        <v>0</v>
      </c>
      <c r="S17" s="25">
        <v>0</v>
      </c>
      <c r="T17" s="25">
        <v>1</v>
      </c>
      <c r="U17" s="25">
        <v>0</v>
      </c>
      <c r="AL17" s="12"/>
      <c r="AM17" s="12"/>
      <c r="AN17" s="12"/>
      <c r="AO17" s="12"/>
      <c r="AP17" s="12"/>
      <c r="AQ17" s="12"/>
      <c r="AR17" s="12"/>
      <c r="AS17" s="12"/>
      <c r="BR17" s="14">
        <v>84</v>
      </c>
      <c r="BS17" s="18">
        <v>13</v>
      </c>
      <c r="BT17" s="12">
        <f t="shared" si="0"/>
        <v>91728</v>
      </c>
      <c r="CC17" s="14">
        <v>27</v>
      </c>
      <c r="CD17" s="14">
        <v>28</v>
      </c>
      <c r="CI17" s="14">
        <v>13</v>
      </c>
      <c r="CJ17" s="14" t="s">
        <v>177</v>
      </c>
      <c r="CK17" s="14">
        <v>21</v>
      </c>
      <c r="CL17" s="14">
        <v>14</v>
      </c>
      <c r="CX17" s="12" t="s">
        <v>84</v>
      </c>
      <c r="CY17" s="14">
        <v>3</v>
      </c>
      <c r="CZ17" s="14">
        <v>10</v>
      </c>
      <c r="DA17" s="14">
        <v>11</v>
      </c>
      <c r="DB17" s="14">
        <v>16</v>
      </c>
      <c r="DC17" s="14"/>
      <c r="DD17" s="14"/>
      <c r="DE17" s="14"/>
      <c r="DF17" s="14"/>
    </row>
    <row r="18" spans="2:110" ht="30" customHeight="1" thickBot="1" x14ac:dyDescent="0.3">
      <c r="B18" s="12">
        <v>4</v>
      </c>
      <c r="C18" s="17" t="b">
        <f>_xlfn.XOR(R14,Q14)</f>
        <v>0</v>
      </c>
      <c r="D18" s="17" t="b">
        <f>_xlfn.XOR(R14,P17)</f>
        <v>0</v>
      </c>
      <c r="E18" s="17" t="b">
        <f>_xlfn.XOR(R14,Q17)</f>
        <v>0</v>
      </c>
      <c r="F18" s="17" t="b">
        <f>_xlfn.XOR(R14,T14)</f>
        <v>0</v>
      </c>
      <c r="G18" s="17" t="b">
        <f>_xlfn.XOR(R14,S17)</f>
        <v>0</v>
      </c>
      <c r="H18" s="17" t="b">
        <f>_xlfn.XOR(R14,S14)</f>
        <v>0</v>
      </c>
      <c r="I18" s="17" t="b">
        <f>_xlfn.XOR(R14,O14)</f>
        <v>0</v>
      </c>
      <c r="J18" s="17" t="b">
        <f>_xlfn.XOR(R14,N14)</f>
        <v>0</v>
      </c>
      <c r="M18" s="20" t="s">
        <v>7</v>
      </c>
      <c r="N18" s="24">
        <v>1</v>
      </c>
      <c r="O18" s="24">
        <v>2</v>
      </c>
      <c r="P18" s="24">
        <v>3</v>
      </c>
      <c r="Q18" s="24">
        <v>4</v>
      </c>
      <c r="R18" s="24">
        <v>5</v>
      </c>
      <c r="S18" s="24">
        <v>6</v>
      </c>
      <c r="T18" s="24">
        <v>7</v>
      </c>
      <c r="U18" s="24">
        <v>8</v>
      </c>
      <c r="AA18" s="76" t="s">
        <v>150</v>
      </c>
      <c r="AB18" s="76"/>
      <c r="AC18" s="76"/>
      <c r="AD18" s="76"/>
      <c r="AY18" s="77" t="s">
        <v>148</v>
      </c>
      <c r="AZ18" s="77"/>
      <c r="BA18" s="77"/>
      <c r="BR18" s="14">
        <v>154</v>
      </c>
      <c r="BS18" s="18">
        <v>14</v>
      </c>
      <c r="BT18" s="12">
        <f t="shared" si="0"/>
        <v>332024</v>
      </c>
      <c r="CC18" s="14">
        <v>29</v>
      </c>
      <c r="CD18" s="14">
        <v>30</v>
      </c>
      <c r="CI18" s="14">
        <v>14</v>
      </c>
      <c r="CJ18" s="14" t="s">
        <v>178</v>
      </c>
      <c r="CK18" s="14">
        <v>23</v>
      </c>
      <c r="CL18" s="14">
        <v>15</v>
      </c>
    </row>
    <row r="19" spans="2:110" ht="30" customHeight="1" x14ac:dyDescent="0.25">
      <c r="B19" s="12">
        <v>5</v>
      </c>
      <c r="C19" s="17" t="b">
        <f>_xlfn.XOR(N17,Q14)</f>
        <v>0</v>
      </c>
      <c r="D19" s="17" t="b">
        <f>_xlfn.XOR(N17,P17)</f>
        <v>0</v>
      </c>
      <c r="E19" s="17" t="b">
        <f>_xlfn.XOR(N17,Q17)</f>
        <v>0</v>
      </c>
      <c r="F19" s="17" t="b">
        <f>_xlfn.XOR(N17,T14)</f>
        <v>0</v>
      </c>
      <c r="G19" s="17" t="b">
        <f>_xlfn.XOR(N17,S17)</f>
        <v>0</v>
      </c>
      <c r="H19" s="17" t="b">
        <f>_xlfn.XOR(N17,S14)</f>
        <v>0</v>
      </c>
      <c r="I19" s="17" t="b">
        <f>_xlfn.XOR(N17,O14)</f>
        <v>0</v>
      </c>
      <c r="J19" s="17" t="b">
        <f>_xlfn.XOR(N17,N14)</f>
        <v>0</v>
      </c>
      <c r="AA19" s="58">
        <v>0</v>
      </c>
      <c r="AB19" s="59">
        <v>1</v>
      </c>
      <c r="AC19" s="59">
        <v>2</v>
      </c>
      <c r="AD19" s="60">
        <v>3</v>
      </c>
      <c r="AU19" s="13" t="s">
        <v>158</v>
      </c>
      <c r="AV19" s="13"/>
      <c r="AW19" s="79">
        <v>1</v>
      </c>
      <c r="AX19" s="79">
        <v>2</v>
      </c>
      <c r="AY19" s="79">
        <v>3</v>
      </c>
      <c r="AZ19" s="79">
        <v>4</v>
      </c>
      <c r="BA19" s="79">
        <v>5</v>
      </c>
      <c r="BB19" s="79">
        <v>6</v>
      </c>
      <c r="BC19" s="79">
        <v>7</v>
      </c>
      <c r="BD19" s="79">
        <v>8</v>
      </c>
      <c r="BR19" s="14">
        <v>210</v>
      </c>
      <c r="BS19" s="18">
        <v>15</v>
      </c>
      <c r="BT19" s="12">
        <f t="shared" si="0"/>
        <v>661500</v>
      </c>
      <c r="CC19" s="14">
        <v>31</v>
      </c>
      <c r="CD19" s="14">
        <v>32</v>
      </c>
      <c r="CI19" s="14">
        <v>15</v>
      </c>
      <c r="CJ19" s="14" t="s">
        <v>179</v>
      </c>
      <c r="CK19" s="14">
        <v>8</v>
      </c>
      <c r="CL19" s="14">
        <v>16</v>
      </c>
    </row>
    <row r="20" spans="2:110" ht="30" customHeight="1" x14ac:dyDescent="0.25">
      <c r="B20" s="12">
        <v>6</v>
      </c>
      <c r="C20" s="17" t="b">
        <f>_xlfn.XOR(T17,Q14)</f>
        <v>1</v>
      </c>
      <c r="D20" s="17" t="b">
        <f>_xlfn.XOR(T17,P17)</f>
        <v>1</v>
      </c>
      <c r="E20" s="17" t="b">
        <f>_xlfn.XOR(T17,Q17)</f>
        <v>1</v>
      </c>
      <c r="F20" s="17" t="b">
        <f>_xlfn.XOR(T17,T14)</f>
        <v>1</v>
      </c>
      <c r="G20" s="17" t="b">
        <f>_xlfn.XOR(T17,S17)</f>
        <v>1</v>
      </c>
      <c r="H20" s="17" t="b">
        <f>_xlfn.XOR(T17,S14)</f>
        <v>1</v>
      </c>
      <c r="I20" s="17" t="b">
        <f>_xlfn.XOR(T17,O14)</f>
        <v>1</v>
      </c>
      <c r="J20" s="17" t="b">
        <f>_xlfn.XOR(T17,N14)</f>
        <v>1</v>
      </c>
      <c r="R20" s="14"/>
      <c r="S20" s="15" t="s">
        <v>66</v>
      </c>
      <c r="T20" s="15" t="s">
        <v>67</v>
      </c>
      <c r="U20" s="15" t="s">
        <v>146</v>
      </c>
      <c r="AA20" s="61">
        <v>4</v>
      </c>
      <c r="AB20" s="62">
        <v>5</v>
      </c>
      <c r="AC20" s="62">
        <v>6</v>
      </c>
      <c r="AD20" s="63">
        <v>7</v>
      </c>
      <c r="AU20" s="13" t="s">
        <v>152</v>
      </c>
      <c r="AV20" s="13"/>
      <c r="AW20" s="10">
        <v>9</v>
      </c>
      <c r="AX20" s="10">
        <v>14</v>
      </c>
      <c r="AY20" s="10">
        <v>8</v>
      </c>
      <c r="AZ20" s="10">
        <v>12</v>
      </c>
      <c r="BA20" s="10">
        <v>1</v>
      </c>
      <c r="BB20" s="10">
        <v>7</v>
      </c>
      <c r="BC20" s="10">
        <v>2</v>
      </c>
      <c r="BD20" s="10">
        <v>5</v>
      </c>
      <c r="BR20" s="14">
        <v>224</v>
      </c>
      <c r="BS20" s="18">
        <v>16</v>
      </c>
      <c r="BT20" s="12">
        <f t="shared" si="0"/>
        <v>802816</v>
      </c>
      <c r="CC20" s="14">
        <v>33</v>
      </c>
      <c r="CD20" s="14">
        <v>34</v>
      </c>
    </row>
    <row r="21" spans="2:110" ht="30" customHeight="1" x14ac:dyDescent="0.25">
      <c r="B21" s="12">
        <v>7</v>
      </c>
      <c r="C21" s="17" t="b">
        <f>_xlfn.XOR(O17,Q14)</f>
        <v>0</v>
      </c>
      <c r="D21" s="17" t="b">
        <f>_xlfn.XOR(O17,P17)</f>
        <v>0</v>
      </c>
      <c r="E21" s="17" t="b">
        <f>_xlfn.XOR(O17,Q17)</f>
        <v>0</v>
      </c>
      <c r="F21" s="17" t="b">
        <f>_xlfn.XOR(O17,T14)</f>
        <v>0</v>
      </c>
      <c r="G21" s="17" t="b">
        <f>_xlfn.XOR(O17,S17)</f>
        <v>0</v>
      </c>
      <c r="H21" s="17" t="b">
        <f>_xlfn.XOR(O17,S14)</f>
        <v>0</v>
      </c>
      <c r="I21" s="17" t="b">
        <f>_xlfn.XOR(O17,O14)</f>
        <v>0</v>
      </c>
      <c r="J21" s="17" t="b">
        <f>_xlfn.XOR(O17,N14)</f>
        <v>0</v>
      </c>
      <c r="R21" s="12" t="s">
        <v>65</v>
      </c>
      <c r="S21" s="14">
        <v>0</v>
      </c>
      <c r="T21" s="14">
        <v>0</v>
      </c>
      <c r="U21" s="21">
        <v>0</v>
      </c>
      <c r="AA21" s="61">
        <v>8</v>
      </c>
      <c r="AB21" s="62">
        <v>9</v>
      </c>
      <c r="AC21" s="62">
        <v>10</v>
      </c>
      <c r="AD21" s="63">
        <v>11</v>
      </c>
      <c r="AU21" s="13" t="s">
        <v>153</v>
      </c>
      <c r="AV21" s="13"/>
      <c r="AW21" s="10">
        <v>13</v>
      </c>
      <c r="AX21" s="10">
        <v>3</v>
      </c>
      <c r="AY21" s="10">
        <v>4</v>
      </c>
      <c r="AZ21" s="10">
        <v>10</v>
      </c>
      <c r="BA21" s="10">
        <v>5</v>
      </c>
      <c r="BB21" s="10">
        <v>11</v>
      </c>
      <c r="BC21" s="10">
        <v>15</v>
      </c>
      <c r="BD21" s="10">
        <v>16</v>
      </c>
      <c r="BR21" s="14">
        <v>104</v>
      </c>
      <c r="BS21" s="18">
        <v>17</v>
      </c>
      <c r="BT21" s="12">
        <f t="shared" si="0"/>
        <v>183872</v>
      </c>
      <c r="CC21" s="14">
        <v>35</v>
      </c>
      <c r="CD21" s="14">
        <v>36</v>
      </c>
    </row>
    <row r="22" spans="2:110" ht="30" customHeight="1" x14ac:dyDescent="0.25">
      <c r="B22" s="12">
        <v>8</v>
      </c>
      <c r="C22" s="17" t="b">
        <f>_xlfn.XOR(R17,Q14)</f>
        <v>0</v>
      </c>
      <c r="D22" s="17" t="b">
        <f>_xlfn.XOR(R17,P17)</f>
        <v>0</v>
      </c>
      <c r="E22" s="17" t="b">
        <f>_xlfn.XOR(R17,Q17)</f>
        <v>0</v>
      </c>
      <c r="F22" s="17" t="b">
        <f>_xlfn.XOR(R17,T14)</f>
        <v>0</v>
      </c>
      <c r="G22" s="17" t="b">
        <f>_xlfn.XOR(R17,S17)</f>
        <v>0</v>
      </c>
      <c r="H22" s="17" t="b">
        <f>_xlfn.XOR(R17,S14)</f>
        <v>0</v>
      </c>
      <c r="I22" s="17" t="b">
        <f>_xlfn.XOR(R17,O14)</f>
        <v>0</v>
      </c>
      <c r="J22" s="17" t="b">
        <f>_xlfn.XOR(R17,N14)</f>
        <v>0</v>
      </c>
      <c r="R22" s="14"/>
      <c r="S22" s="14">
        <v>0</v>
      </c>
      <c r="T22" s="14">
        <v>1</v>
      </c>
      <c r="U22" s="21">
        <v>1</v>
      </c>
      <c r="AA22" s="61">
        <v>12</v>
      </c>
      <c r="AB22" s="62">
        <v>13</v>
      </c>
      <c r="AC22" s="62">
        <v>14</v>
      </c>
      <c r="AD22" s="63">
        <v>15</v>
      </c>
      <c r="BR22" s="14">
        <v>24</v>
      </c>
      <c r="BS22" s="18">
        <v>18</v>
      </c>
      <c r="BT22" s="12">
        <f t="shared" si="0"/>
        <v>10368</v>
      </c>
      <c r="CC22" s="14">
        <v>37</v>
      </c>
      <c r="CD22" s="14">
        <v>38</v>
      </c>
    </row>
    <row r="23" spans="2:110" ht="30" customHeight="1" x14ac:dyDescent="0.25">
      <c r="R23" s="14"/>
      <c r="S23" s="14">
        <v>1</v>
      </c>
      <c r="T23" s="14">
        <v>0</v>
      </c>
      <c r="U23" s="21">
        <v>1</v>
      </c>
      <c r="AA23" s="61">
        <v>16</v>
      </c>
      <c r="AB23" s="62">
        <v>17</v>
      </c>
      <c r="AC23" s="62">
        <v>18</v>
      </c>
      <c r="AD23" s="63">
        <v>19</v>
      </c>
      <c r="BR23" s="14">
        <v>32</v>
      </c>
      <c r="BS23" s="18">
        <v>19</v>
      </c>
      <c r="BT23" s="12">
        <f t="shared" si="0"/>
        <v>19456</v>
      </c>
      <c r="CC23" s="14">
        <v>39</v>
      </c>
      <c r="CD23" s="14">
        <v>40</v>
      </c>
    </row>
    <row r="24" spans="2:110" ht="30" customHeight="1" x14ac:dyDescent="0.25">
      <c r="R24" s="14"/>
      <c r="S24" s="14">
        <v>1</v>
      </c>
      <c r="T24" s="14">
        <v>1</v>
      </c>
      <c r="U24" s="21">
        <v>0</v>
      </c>
      <c r="AA24" s="61">
        <v>20</v>
      </c>
      <c r="AB24" s="62">
        <v>21</v>
      </c>
      <c r="AC24" s="62">
        <v>22</v>
      </c>
      <c r="AD24" s="63">
        <v>23</v>
      </c>
      <c r="BR24" s="14">
        <v>80</v>
      </c>
      <c r="BS24" s="18">
        <v>20</v>
      </c>
      <c r="BT24" s="12">
        <f t="shared" si="0"/>
        <v>128000</v>
      </c>
    </row>
    <row r="25" spans="2:110" ht="30" customHeight="1" x14ac:dyDescent="0.25">
      <c r="C25" s="50"/>
      <c r="D25" s="43"/>
      <c r="E25" s="43"/>
      <c r="F25" s="51"/>
      <c r="H25" s="34"/>
      <c r="I25" s="35"/>
      <c r="J25" s="35"/>
      <c r="K25" s="51"/>
      <c r="M25" s="50"/>
      <c r="N25" s="35"/>
      <c r="O25" s="35"/>
      <c r="P25" s="36"/>
      <c r="R25" s="34"/>
      <c r="S25" s="35"/>
      <c r="T25" s="35"/>
      <c r="U25" s="28"/>
      <c r="AA25" s="61">
        <v>24</v>
      </c>
      <c r="AB25" s="62">
        <v>25</v>
      </c>
      <c r="AC25" s="62">
        <v>26</v>
      </c>
      <c r="AD25" s="63">
        <v>27</v>
      </c>
      <c r="BR25" s="14">
        <v>48</v>
      </c>
      <c r="BS25" s="18">
        <v>21</v>
      </c>
      <c r="BT25" s="12">
        <f t="shared" si="0"/>
        <v>48384</v>
      </c>
    </row>
    <row r="26" spans="2:110" ht="30" customHeight="1" thickBot="1" x14ac:dyDescent="0.3">
      <c r="C26" s="44"/>
      <c r="D26" s="45"/>
      <c r="E26" s="45"/>
      <c r="F26" s="46"/>
      <c r="H26" s="37"/>
      <c r="I26" s="5"/>
      <c r="J26" s="5"/>
      <c r="K26" s="39"/>
      <c r="M26" s="37"/>
      <c r="N26" s="52"/>
      <c r="O26" s="5"/>
      <c r="P26" s="53"/>
      <c r="R26" s="37"/>
      <c r="S26" s="5"/>
      <c r="T26" s="52"/>
      <c r="U26" s="39"/>
      <c r="AA26" s="64">
        <v>28</v>
      </c>
      <c r="AB26" s="65">
        <v>29</v>
      </c>
      <c r="AC26" s="65">
        <v>30</v>
      </c>
      <c r="AD26" s="66">
        <v>31</v>
      </c>
      <c r="BR26" s="14">
        <v>88</v>
      </c>
      <c r="BS26" s="18">
        <v>22</v>
      </c>
      <c r="BT26" s="12">
        <f t="shared" si="0"/>
        <v>170368</v>
      </c>
    </row>
    <row r="27" spans="2:110" ht="30" customHeight="1" x14ac:dyDescent="0.25">
      <c r="C27" s="44"/>
      <c r="D27" s="5"/>
      <c r="E27" s="5"/>
      <c r="F27" s="46"/>
      <c r="G27" s="49"/>
      <c r="H27" s="37"/>
      <c r="I27" s="5"/>
      <c r="J27" s="52"/>
      <c r="K27" s="39"/>
      <c r="M27" s="37"/>
      <c r="N27" s="52"/>
      <c r="O27" s="5"/>
      <c r="P27" s="53"/>
      <c r="R27" s="37"/>
      <c r="S27" s="5"/>
      <c r="T27" s="5"/>
      <c r="U27" s="39"/>
      <c r="BR27" s="14">
        <v>120</v>
      </c>
      <c r="BS27" s="18">
        <v>23</v>
      </c>
      <c r="BT27" s="12">
        <f t="shared" si="0"/>
        <v>331200</v>
      </c>
    </row>
    <row r="28" spans="2:110" ht="30" customHeight="1" x14ac:dyDescent="0.25">
      <c r="C28" s="44"/>
      <c r="D28" s="5"/>
      <c r="E28" s="5"/>
      <c r="F28" s="46"/>
      <c r="H28" s="37"/>
      <c r="I28" s="38"/>
      <c r="J28" s="38"/>
      <c r="K28" s="53"/>
      <c r="M28" s="37"/>
      <c r="N28" s="52"/>
      <c r="O28" s="5"/>
      <c r="P28" s="53"/>
      <c r="R28" s="37"/>
      <c r="S28" s="5"/>
      <c r="T28" s="5"/>
      <c r="U28" s="39"/>
      <c r="AD28" s="77" t="s">
        <v>151</v>
      </c>
      <c r="AE28" s="77"/>
      <c r="AF28" s="77"/>
      <c r="AG28" s="77"/>
      <c r="AH28" s="77"/>
      <c r="AI28" s="77"/>
      <c r="BR28" s="14">
        <v>128</v>
      </c>
      <c r="BS28" s="18">
        <v>24</v>
      </c>
      <c r="BT28" s="12">
        <f t="shared" si="0"/>
        <v>393216</v>
      </c>
    </row>
    <row r="29" spans="2:110" ht="30" customHeight="1" x14ac:dyDescent="0.25">
      <c r="C29" s="44"/>
      <c r="D29" s="45"/>
      <c r="E29" s="45"/>
      <c r="F29" s="46"/>
      <c r="H29" s="37"/>
      <c r="I29" s="52"/>
      <c r="J29" s="52"/>
      <c r="K29" s="39"/>
      <c r="M29" s="37"/>
      <c r="N29" s="52"/>
      <c r="O29" s="5"/>
      <c r="P29" s="53"/>
      <c r="R29" s="37"/>
      <c r="S29" s="5"/>
      <c r="T29" s="5"/>
      <c r="U29" s="39"/>
      <c r="Z29" s="15">
        <v>0</v>
      </c>
      <c r="AA29" s="78">
        <v>1</v>
      </c>
      <c r="AB29" s="78">
        <v>2</v>
      </c>
      <c r="AC29" s="78">
        <v>3</v>
      </c>
      <c r="AD29" s="78">
        <v>4</v>
      </c>
      <c r="AE29" s="78">
        <v>5</v>
      </c>
      <c r="AF29" s="78">
        <v>6</v>
      </c>
      <c r="AG29" s="78">
        <v>7</v>
      </c>
      <c r="AH29" s="78">
        <v>8</v>
      </c>
      <c r="AI29" s="78">
        <v>9</v>
      </c>
      <c r="AJ29" s="78">
        <v>10</v>
      </c>
      <c r="AK29" s="78">
        <v>11</v>
      </c>
      <c r="AL29" s="78">
        <v>12</v>
      </c>
      <c r="AM29" s="78">
        <v>13</v>
      </c>
      <c r="AN29" s="78">
        <v>14</v>
      </c>
      <c r="AO29" s="78">
        <v>15</v>
      </c>
      <c r="AP29" s="78">
        <v>16</v>
      </c>
      <c r="AQ29" s="78">
        <v>17</v>
      </c>
      <c r="AR29" s="78">
        <v>18</v>
      </c>
      <c r="AS29" s="78">
        <v>19</v>
      </c>
      <c r="AT29" s="78">
        <v>20</v>
      </c>
      <c r="AU29" s="78">
        <v>21</v>
      </c>
      <c r="AV29" s="78">
        <v>22</v>
      </c>
      <c r="AW29" s="78">
        <v>23</v>
      </c>
      <c r="AX29" s="78">
        <v>24</v>
      </c>
      <c r="AY29" s="78">
        <v>25</v>
      </c>
      <c r="AZ29" s="78">
        <v>26</v>
      </c>
      <c r="BA29" s="78">
        <v>27</v>
      </c>
      <c r="BB29" s="78">
        <v>28</v>
      </c>
      <c r="BC29" s="78">
        <v>29</v>
      </c>
      <c r="BD29" s="78">
        <v>30</v>
      </c>
      <c r="BE29" s="78">
        <v>31</v>
      </c>
      <c r="BH29" s="15" t="s">
        <v>145</v>
      </c>
      <c r="BR29" s="14">
        <v>156</v>
      </c>
      <c r="BS29" s="18">
        <v>25</v>
      </c>
      <c r="BT29" s="12">
        <f t="shared" si="0"/>
        <v>608400</v>
      </c>
    </row>
    <row r="30" spans="2:110" ht="30" customHeight="1" x14ac:dyDescent="0.25">
      <c r="C30" s="44"/>
      <c r="D30" s="5"/>
      <c r="E30" s="5"/>
      <c r="F30" s="46"/>
      <c r="H30" s="37"/>
      <c r="I30" s="5"/>
      <c r="J30" s="5"/>
      <c r="K30" s="39"/>
      <c r="M30" s="37"/>
      <c r="N30" s="52"/>
      <c r="O30" s="5"/>
      <c r="P30" s="53"/>
      <c r="R30" s="37"/>
      <c r="S30" s="5"/>
      <c r="T30" s="5"/>
      <c r="U30" s="39"/>
      <c r="Y30" s="20" t="s">
        <v>66</v>
      </c>
      <c r="Z30" s="68">
        <v>0</v>
      </c>
      <c r="AA30" s="68">
        <v>1</v>
      </c>
      <c r="AB30" s="68">
        <v>1</v>
      </c>
      <c r="AC30" s="68">
        <v>0</v>
      </c>
      <c r="AD30" s="68">
        <v>1</v>
      </c>
      <c r="AE30" s="68">
        <v>1</v>
      </c>
      <c r="AF30" s="68">
        <v>1</v>
      </c>
      <c r="AG30" s="68">
        <v>1</v>
      </c>
      <c r="AH30" s="68">
        <v>1</v>
      </c>
      <c r="AI30" s="68">
        <v>0</v>
      </c>
      <c r="AJ30" s="68">
        <v>0</v>
      </c>
      <c r="AK30" s="68">
        <v>1</v>
      </c>
      <c r="AL30" s="68">
        <v>1</v>
      </c>
      <c r="AM30" s="68">
        <v>0</v>
      </c>
      <c r="AN30" s="68">
        <v>0</v>
      </c>
      <c r="AO30" s="68">
        <v>1</v>
      </c>
      <c r="AP30" s="68">
        <v>1</v>
      </c>
      <c r="AQ30" s="68">
        <v>1</v>
      </c>
      <c r="AR30" s="68">
        <v>1</v>
      </c>
      <c r="AS30" s="68">
        <v>1</v>
      </c>
      <c r="AT30" s="68">
        <v>1</v>
      </c>
      <c r="AU30" s="68">
        <v>0</v>
      </c>
      <c r="AV30" s="68">
        <v>0</v>
      </c>
      <c r="AW30" s="68">
        <v>1</v>
      </c>
      <c r="AX30" s="68">
        <v>1</v>
      </c>
      <c r="AY30" s="68">
        <v>0</v>
      </c>
      <c r="AZ30" s="68">
        <v>0</v>
      </c>
      <c r="BA30" s="68">
        <v>1</v>
      </c>
      <c r="BB30" s="68">
        <v>1</v>
      </c>
      <c r="BC30" s="68">
        <v>0</v>
      </c>
      <c r="BD30" s="68">
        <v>0</v>
      </c>
      <c r="BE30" s="72">
        <v>1</v>
      </c>
      <c r="BG30" s="71" t="s">
        <v>66</v>
      </c>
      <c r="BH30" s="70" t="s">
        <v>109</v>
      </c>
      <c r="BI30" s="69"/>
      <c r="BR30" s="14">
        <v>36</v>
      </c>
      <c r="BS30" s="18">
        <v>26</v>
      </c>
      <c r="BT30" s="12">
        <f t="shared" si="0"/>
        <v>33696</v>
      </c>
    </row>
    <row r="31" spans="2:110" ht="30" customHeight="1" x14ac:dyDescent="0.25">
      <c r="C31" s="44"/>
      <c r="D31" s="5"/>
      <c r="E31" s="5"/>
      <c r="F31" s="46"/>
      <c r="H31" s="37"/>
      <c r="I31" s="5"/>
      <c r="J31" s="5"/>
      <c r="K31" s="39"/>
      <c r="M31" s="37"/>
      <c r="N31" s="52"/>
      <c r="O31" s="5"/>
      <c r="P31" s="53"/>
      <c r="R31" s="37"/>
      <c r="S31" s="5"/>
      <c r="T31" s="52"/>
      <c r="U31" s="39"/>
      <c r="Y31" s="20" t="s">
        <v>67</v>
      </c>
      <c r="Z31" s="68">
        <v>1</v>
      </c>
      <c r="AA31" s="68">
        <v>1</v>
      </c>
      <c r="AB31" s="68">
        <v>1</v>
      </c>
      <c r="AC31" s="68">
        <v>0</v>
      </c>
      <c r="AD31" s="68">
        <v>1</v>
      </c>
      <c r="AE31" s="68">
        <v>0</v>
      </c>
      <c r="AF31" s="68">
        <v>0</v>
      </c>
      <c r="AG31" s="68">
        <v>1</v>
      </c>
      <c r="AH31" s="68">
        <v>1</v>
      </c>
      <c r="AI31" s="68">
        <v>0</v>
      </c>
      <c r="AJ31" s="68">
        <v>0</v>
      </c>
      <c r="AK31" s="68">
        <v>1</v>
      </c>
      <c r="AL31" s="68">
        <v>1</v>
      </c>
      <c r="AM31" s="68">
        <v>1</v>
      </c>
      <c r="AN31" s="68">
        <v>1</v>
      </c>
      <c r="AO31" s="68">
        <v>0</v>
      </c>
      <c r="AP31" s="68">
        <v>1</v>
      </c>
      <c r="AQ31" s="68">
        <v>0</v>
      </c>
      <c r="AR31" s="68">
        <v>0</v>
      </c>
      <c r="AS31" s="68">
        <v>1</v>
      </c>
      <c r="AT31" s="68">
        <v>1</v>
      </c>
      <c r="AU31" s="68">
        <v>0</v>
      </c>
      <c r="AV31" s="68">
        <v>0</v>
      </c>
      <c r="AW31" s="68">
        <v>1</v>
      </c>
      <c r="AX31" s="68">
        <v>1</v>
      </c>
      <c r="AY31" s="68">
        <v>0</v>
      </c>
      <c r="AZ31" s="68">
        <v>0</v>
      </c>
      <c r="BA31" s="68">
        <v>1</v>
      </c>
      <c r="BB31" s="68">
        <v>1</v>
      </c>
      <c r="BC31" s="68">
        <v>1</v>
      </c>
      <c r="BD31" s="68">
        <v>1</v>
      </c>
      <c r="BE31" s="73">
        <v>0</v>
      </c>
      <c r="BG31" s="71" t="s">
        <v>67</v>
      </c>
      <c r="BH31" s="70" t="s">
        <v>110</v>
      </c>
      <c r="BI31" s="69"/>
      <c r="BR31" s="14">
        <v>48</v>
      </c>
      <c r="BS31" s="18">
        <v>27</v>
      </c>
      <c r="BT31" s="12">
        <f t="shared" si="0"/>
        <v>62208</v>
      </c>
    </row>
    <row r="32" spans="2:110" ht="30" customHeight="1" x14ac:dyDescent="0.25">
      <c r="C32" s="47"/>
      <c r="D32" s="32"/>
      <c r="E32" s="32"/>
      <c r="F32" s="48"/>
      <c r="H32" s="40"/>
      <c r="I32" s="41"/>
      <c r="J32" s="41"/>
      <c r="K32" s="54"/>
      <c r="M32" s="55"/>
      <c r="N32" s="41"/>
      <c r="O32" s="41"/>
      <c r="P32" s="42"/>
      <c r="R32" s="40"/>
      <c r="S32" s="41"/>
      <c r="T32" s="41"/>
      <c r="U32" s="33"/>
      <c r="Y32" s="20" t="s">
        <v>85</v>
      </c>
      <c r="Z32" s="68">
        <v>0</v>
      </c>
      <c r="AA32" s="68">
        <v>1</v>
      </c>
      <c r="AB32" s="68">
        <v>1</v>
      </c>
      <c r="AC32" s="68">
        <v>1</v>
      </c>
      <c r="AD32" s="68">
        <v>1</v>
      </c>
      <c r="AE32" s="68">
        <v>0</v>
      </c>
      <c r="AF32" s="68">
        <v>0</v>
      </c>
      <c r="AG32" s="68">
        <v>0</v>
      </c>
      <c r="AH32" s="68">
        <v>1</v>
      </c>
      <c r="AI32" s="68">
        <v>0</v>
      </c>
      <c r="AJ32" s="68">
        <v>0</v>
      </c>
      <c r="AK32" s="68">
        <v>0</v>
      </c>
      <c r="AL32" s="68">
        <v>1</v>
      </c>
      <c r="AM32" s="68">
        <v>0</v>
      </c>
      <c r="AN32" s="68">
        <v>0</v>
      </c>
      <c r="AO32" s="68">
        <v>0</v>
      </c>
      <c r="AP32" s="68">
        <v>1</v>
      </c>
      <c r="AQ32" s="68">
        <v>0</v>
      </c>
      <c r="AR32" s="68">
        <v>0</v>
      </c>
      <c r="AS32" s="68">
        <v>0</v>
      </c>
      <c r="AT32" s="68">
        <v>1</v>
      </c>
      <c r="AU32" s="68">
        <v>0</v>
      </c>
      <c r="AV32" s="68">
        <v>0</v>
      </c>
      <c r="AW32" s="68">
        <v>0</v>
      </c>
      <c r="AX32" s="68">
        <v>1</v>
      </c>
      <c r="AY32" s="68">
        <v>0</v>
      </c>
      <c r="AZ32" s="68">
        <v>0</v>
      </c>
      <c r="BA32" s="68">
        <v>0</v>
      </c>
      <c r="BB32" s="68">
        <v>0</v>
      </c>
      <c r="BC32" s="68">
        <v>1</v>
      </c>
      <c r="BD32" s="68">
        <v>1</v>
      </c>
      <c r="BE32" s="73">
        <v>1</v>
      </c>
      <c r="BG32" s="71" t="s">
        <v>85</v>
      </c>
      <c r="BH32" s="70" t="s">
        <v>111</v>
      </c>
      <c r="BI32" s="69"/>
      <c r="BR32" s="14">
        <v>120</v>
      </c>
      <c r="BS32" s="18">
        <v>28</v>
      </c>
      <c r="BT32" s="12">
        <f t="shared" si="0"/>
        <v>403200</v>
      </c>
    </row>
    <row r="33" spans="3:72" ht="30" customHeight="1" x14ac:dyDescent="0.25">
      <c r="Y33" s="20" t="s">
        <v>86</v>
      </c>
      <c r="Z33" s="68">
        <v>1</v>
      </c>
      <c r="AA33" s="68">
        <v>1</v>
      </c>
      <c r="AB33" s="68">
        <v>1</v>
      </c>
      <c r="AC33" s="68">
        <v>0</v>
      </c>
      <c r="AD33" s="68">
        <v>1</v>
      </c>
      <c r="AE33" s="68">
        <v>0</v>
      </c>
      <c r="AF33" s="68">
        <v>0</v>
      </c>
      <c r="AG33" s="68">
        <v>1</v>
      </c>
      <c r="AH33" s="68">
        <v>1</v>
      </c>
      <c r="AI33" s="68">
        <v>0</v>
      </c>
      <c r="AJ33" s="68">
        <v>0</v>
      </c>
      <c r="AK33" s="68">
        <v>1</v>
      </c>
      <c r="AL33" s="68">
        <v>1</v>
      </c>
      <c r="AM33" s="68">
        <v>0</v>
      </c>
      <c r="AN33" s="68">
        <v>0</v>
      </c>
      <c r="AO33" s="68">
        <v>1</v>
      </c>
      <c r="AP33" s="68">
        <v>1</v>
      </c>
      <c r="AQ33" s="68">
        <v>0</v>
      </c>
      <c r="AR33" s="68">
        <v>0</v>
      </c>
      <c r="AS33" s="68">
        <v>1</v>
      </c>
      <c r="AT33" s="68">
        <v>1</v>
      </c>
      <c r="AU33" s="68">
        <v>0</v>
      </c>
      <c r="AV33" s="68">
        <v>0</v>
      </c>
      <c r="AW33" s="68">
        <v>1</v>
      </c>
      <c r="AX33" s="68">
        <v>1</v>
      </c>
      <c r="AY33" s="68">
        <v>0</v>
      </c>
      <c r="AZ33" s="68">
        <v>0</v>
      </c>
      <c r="BA33" s="68">
        <v>1</v>
      </c>
      <c r="BB33" s="68">
        <v>1</v>
      </c>
      <c r="BC33" s="68">
        <v>1</v>
      </c>
      <c r="BD33" s="68">
        <v>1</v>
      </c>
      <c r="BE33" s="73">
        <v>0</v>
      </c>
      <c r="BG33" s="71" t="s">
        <v>86</v>
      </c>
      <c r="BH33" s="70" t="s">
        <v>112</v>
      </c>
      <c r="BI33" s="69"/>
      <c r="BR33" s="14">
        <v>72</v>
      </c>
      <c r="BS33" s="18">
        <v>29</v>
      </c>
      <c r="BT33" s="12">
        <f t="shared" si="0"/>
        <v>150336</v>
      </c>
    </row>
    <row r="34" spans="3:72" ht="30" customHeight="1" x14ac:dyDescent="0.25">
      <c r="C34" s="34"/>
      <c r="D34" s="35"/>
      <c r="E34" s="35"/>
      <c r="F34" s="36"/>
      <c r="H34" s="34"/>
      <c r="I34" s="35"/>
      <c r="J34" s="35"/>
      <c r="K34" s="36"/>
      <c r="M34" s="50"/>
      <c r="N34" s="35"/>
      <c r="O34" s="35"/>
      <c r="P34" s="36"/>
      <c r="R34" s="34"/>
      <c r="S34" s="27"/>
      <c r="T34" s="27"/>
      <c r="U34" s="36"/>
      <c r="Y34" s="20" t="s">
        <v>87</v>
      </c>
      <c r="Z34" s="68">
        <v>1</v>
      </c>
      <c r="AA34" s="68">
        <v>1</v>
      </c>
      <c r="AB34" s="68">
        <v>1</v>
      </c>
      <c r="AC34" s="68">
        <v>1</v>
      </c>
      <c r="AD34" s="68">
        <v>1</v>
      </c>
      <c r="AE34" s="68">
        <v>0</v>
      </c>
      <c r="AF34" s="68">
        <v>0</v>
      </c>
      <c r="AG34" s="68">
        <v>0</v>
      </c>
      <c r="AH34" s="68">
        <v>1</v>
      </c>
      <c r="AI34" s="68">
        <v>0</v>
      </c>
      <c r="AJ34" s="68">
        <v>0</v>
      </c>
      <c r="AK34" s="68">
        <v>0</v>
      </c>
      <c r="AL34" s="68">
        <v>1</v>
      </c>
      <c r="AM34" s="68">
        <v>1</v>
      </c>
      <c r="AN34" s="68">
        <v>1</v>
      </c>
      <c r="AO34" s="68">
        <v>0</v>
      </c>
      <c r="AP34" s="68">
        <v>1</v>
      </c>
      <c r="AQ34" s="68">
        <v>0</v>
      </c>
      <c r="AR34" s="68">
        <v>0</v>
      </c>
      <c r="AS34" s="68">
        <v>0</v>
      </c>
      <c r="AT34" s="68">
        <v>1</v>
      </c>
      <c r="AU34" s="68">
        <v>0</v>
      </c>
      <c r="AV34" s="68">
        <v>0</v>
      </c>
      <c r="AW34" s="68">
        <v>0</v>
      </c>
      <c r="AX34" s="68">
        <v>1</v>
      </c>
      <c r="AY34" s="68">
        <v>0</v>
      </c>
      <c r="AZ34" s="68">
        <v>0</v>
      </c>
      <c r="BA34" s="68">
        <v>0</v>
      </c>
      <c r="BB34" s="68">
        <v>1</v>
      </c>
      <c r="BC34" s="68">
        <v>1</v>
      </c>
      <c r="BD34" s="68">
        <v>1</v>
      </c>
      <c r="BE34" s="73">
        <v>1</v>
      </c>
      <c r="BG34" s="71" t="s">
        <v>87</v>
      </c>
      <c r="BH34" s="70" t="s">
        <v>113</v>
      </c>
      <c r="BI34" s="69"/>
      <c r="BR34" s="14">
        <v>132</v>
      </c>
      <c r="BS34" s="18">
        <v>30</v>
      </c>
      <c r="BT34" s="12">
        <f t="shared" si="0"/>
        <v>522720</v>
      </c>
    </row>
    <row r="35" spans="3:72" ht="30" customHeight="1" x14ac:dyDescent="0.25">
      <c r="C35" s="37"/>
      <c r="D35" s="5"/>
      <c r="E35" s="5"/>
      <c r="F35" s="30"/>
      <c r="H35" s="37"/>
      <c r="I35" s="5"/>
      <c r="J35" s="5"/>
      <c r="K35" s="30"/>
      <c r="M35" s="37"/>
      <c r="N35" s="5"/>
      <c r="O35" s="5"/>
      <c r="P35" s="53"/>
      <c r="R35" s="37"/>
      <c r="S35" s="5"/>
      <c r="T35" s="5"/>
      <c r="U35" s="39"/>
      <c r="Y35" s="20" t="s">
        <v>88</v>
      </c>
      <c r="Z35" s="68">
        <v>1</v>
      </c>
      <c r="AA35" s="68">
        <v>1</v>
      </c>
      <c r="AB35" s="68">
        <v>1</v>
      </c>
      <c r="AC35" s="68">
        <v>1</v>
      </c>
      <c r="AD35" s="68">
        <v>1</v>
      </c>
      <c r="AE35" s="68">
        <v>0</v>
      </c>
      <c r="AF35" s="68">
        <v>0</v>
      </c>
      <c r="AG35" s="68">
        <v>0</v>
      </c>
      <c r="AH35" s="68">
        <v>1</v>
      </c>
      <c r="AI35" s="68">
        <v>0</v>
      </c>
      <c r="AJ35" s="68">
        <v>0</v>
      </c>
      <c r="AK35" s="68">
        <v>0</v>
      </c>
      <c r="AL35" s="68">
        <v>1</v>
      </c>
      <c r="AM35" s="68">
        <v>1</v>
      </c>
      <c r="AN35" s="68">
        <v>1</v>
      </c>
      <c r="AO35" s="68">
        <v>0</v>
      </c>
      <c r="AP35" s="68">
        <v>1</v>
      </c>
      <c r="AQ35" s="68">
        <v>0</v>
      </c>
      <c r="AR35" s="68">
        <v>0</v>
      </c>
      <c r="AS35" s="68">
        <v>0</v>
      </c>
      <c r="AT35" s="68">
        <v>1</v>
      </c>
      <c r="AU35" s="68">
        <v>0</v>
      </c>
      <c r="AV35" s="68">
        <v>0</v>
      </c>
      <c r="AW35" s="68">
        <v>0</v>
      </c>
      <c r="AX35" s="68">
        <v>1</v>
      </c>
      <c r="AY35" s="68">
        <v>0</v>
      </c>
      <c r="AZ35" s="68">
        <v>0</v>
      </c>
      <c r="BA35" s="68">
        <v>0</v>
      </c>
      <c r="BB35" s="68">
        <v>1</v>
      </c>
      <c r="BC35" s="68">
        <v>0</v>
      </c>
      <c r="BD35" s="68">
        <v>0</v>
      </c>
      <c r="BE35" s="73">
        <v>0</v>
      </c>
      <c r="BG35" s="71" t="s">
        <v>88</v>
      </c>
      <c r="BH35" s="70" t="s">
        <v>114</v>
      </c>
      <c r="BI35" s="69"/>
      <c r="BR35" s="14">
        <v>180</v>
      </c>
      <c r="BS35" s="18">
        <v>31</v>
      </c>
      <c r="BT35" s="12">
        <f t="shared" si="0"/>
        <v>1004400</v>
      </c>
    </row>
    <row r="36" spans="3:72" ht="30" customHeight="1" x14ac:dyDescent="0.25">
      <c r="C36" s="37"/>
      <c r="D36" s="5"/>
      <c r="E36" s="5"/>
      <c r="F36" s="30"/>
      <c r="H36" s="37"/>
      <c r="I36" s="5"/>
      <c r="J36" s="5"/>
      <c r="K36" s="30"/>
      <c r="M36" s="37"/>
      <c r="N36" s="5"/>
      <c r="O36" s="5"/>
      <c r="P36" s="30"/>
      <c r="R36" s="37"/>
      <c r="S36" s="5"/>
      <c r="T36" s="5"/>
      <c r="U36" s="39"/>
      <c r="Y36" s="20" t="s">
        <v>89</v>
      </c>
      <c r="Z36" s="68">
        <v>0</v>
      </c>
      <c r="AA36" s="68">
        <v>1</v>
      </c>
      <c r="AB36" s="68">
        <v>1</v>
      </c>
      <c r="AC36" s="68">
        <v>1</v>
      </c>
      <c r="AD36" s="68">
        <v>1</v>
      </c>
      <c r="AE36" s="68">
        <v>0</v>
      </c>
      <c r="AF36" s="68">
        <v>0</v>
      </c>
      <c r="AG36" s="68">
        <v>0</v>
      </c>
      <c r="AH36" s="68">
        <v>1</v>
      </c>
      <c r="AI36" s="68">
        <v>0</v>
      </c>
      <c r="AJ36" s="68">
        <v>0</v>
      </c>
      <c r="AK36" s="68">
        <v>0</v>
      </c>
      <c r="AL36" s="68">
        <v>1</v>
      </c>
      <c r="AM36" s="68">
        <v>0</v>
      </c>
      <c r="AN36" s="68">
        <v>0</v>
      </c>
      <c r="AO36" s="68">
        <v>0</v>
      </c>
      <c r="AP36" s="68">
        <v>1</v>
      </c>
      <c r="AQ36" s="68">
        <v>0</v>
      </c>
      <c r="AR36" s="68">
        <v>0</v>
      </c>
      <c r="AS36" s="68">
        <v>1</v>
      </c>
      <c r="AT36" s="68">
        <v>1</v>
      </c>
      <c r="AU36" s="68">
        <v>0</v>
      </c>
      <c r="AV36" s="68">
        <v>0</v>
      </c>
      <c r="AW36" s="68">
        <v>1</v>
      </c>
      <c r="AX36" s="68">
        <v>1</v>
      </c>
      <c r="AY36" s="68">
        <v>0</v>
      </c>
      <c r="AZ36" s="68">
        <v>0</v>
      </c>
      <c r="BA36" s="68">
        <v>1</v>
      </c>
      <c r="BB36" s="68">
        <v>0</v>
      </c>
      <c r="BC36" s="68">
        <v>1</v>
      </c>
      <c r="BD36" s="68">
        <v>1</v>
      </c>
      <c r="BE36" s="73">
        <v>1</v>
      </c>
      <c r="BG36" s="71" t="s">
        <v>89</v>
      </c>
      <c r="BH36" s="70" t="s">
        <v>115</v>
      </c>
      <c r="BI36" s="69"/>
      <c r="BR36" s="14">
        <v>192</v>
      </c>
      <c r="BS36" s="18">
        <v>32</v>
      </c>
      <c r="BT36" s="12">
        <f t="shared" si="0"/>
        <v>1179648</v>
      </c>
    </row>
    <row r="37" spans="3:72" ht="30" customHeight="1" x14ac:dyDescent="0.25">
      <c r="C37" s="37"/>
      <c r="D37" s="38"/>
      <c r="E37" s="38"/>
      <c r="F37" s="30"/>
      <c r="H37" s="37"/>
      <c r="I37" s="38"/>
      <c r="J37" s="38"/>
      <c r="K37" s="30"/>
      <c r="M37" s="37"/>
      <c r="N37" s="5"/>
      <c r="O37" s="5"/>
      <c r="P37" s="30"/>
      <c r="R37" s="37"/>
      <c r="S37" s="38"/>
      <c r="T37" s="38"/>
      <c r="U37" s="39"/>
      <c r="Y37" s="20" t="s">
        <v>90</v>
      </c>
      <c r="Z37" s="68">
        <v>1</v>
      </c>
      <c r="AA37" s="68">
        <v>0</v>
      </c>
      <c r="AB37" s="68">
        <v>0</v>
      </c>
      <c r="AC37" s="68">
        <v>1</v>
      </c>
      <c r="AD37" s="68">
        <v>1</v>
      </c>
      <c r="AE37" s="68">
        <v>0</v>
      </c>
      <c r="AF37" s="68">
        <v>0</v>
      </c>
      <c r="AG37" s="68">
        <v>1</v>
      </c>
      <c r="AH37" s="68">
        <v>1</v>
      </c>
      <c r="AI37" s="68">
        <v>0</v>
      </c>
      <c r="AJ37" s="68">
        <v>0</v>
      </c>
      <c r="AK37" s="68">
        <v>1</v>
      </c>
      <c r="AL37" s="68">
        <v>1</v>
      </c>
      <c r="AM37" s="68">
        <v>1</v>
      </c>
      <c r="AN37" s="68">
        <v>1</v>
      </c>
      <c r="AO37" s="68">
        <v>1</v>
      </c>
      <c r="AP37" s="68">
        <v>1</v>
      </c>
      <c r="AQ37" s="68">
        <v>0</v>
      </c>
      <c r="AR37" s="68">
        <v>0</v>
      </c>
      <c r="AS37" s="68">
        <v>1</v>
      </c>
      <c r="AT37" s="68">
        <v>1</v>
      </c>
      <c r="AU37" s="68">
        <v>0</v>
      </c>
      <c r="AV37" s="68">
        <v>0</v>
      </c>
      <c r="AW37" s="68">
        <v>1</v>
      </c>
      <c r="AX37" s="68">
        <v>1</v>
      </c>
      <c r="AY37" s="68">
        <v>0</v>
      </c>
      <c r="AZ37" s="68">
        <v>0</v>
      </c>
      <c r="BA37" s="68">
        <v>1</v>
      </c>
      <c r="BB37" s="68">
        <v>1</v>
      </c>
      <c r="BC37" s="68">
        <v>0</v>
      </c>
      <c r="BD37" s="68">
        <v>0</v>
      </c>
      <c r="BE37" s="73">
        <v>1</v>
      </c>
      <c r="BG37" s="71" t="s">
        <v>90</v>
      </c>
      <c r="BH37" s="70" t="s">
        <v>116</v>
      </c>
      <c r="BI37" s="69"/>
      <c r="BR37" s="14">
        <v>13</v>
      </c>
      <c r="BS37" s="18">
        <v>33</v>
      </c>
      <c r="BT37" s="12">
        <f t="shared" si="0"/>
        <v>5577</v>
      </c>
    </row>
    <row r="38" spans="3:72" ht="30" customHeight="1" x14ac:dyDescent="0.25">
      <c r="C38" s="37"/>
      <c r="D38" s="52"/>
      <c r="E38" s="52"/>
      <c r="F38" s="53"/>
      <c r="H38" s="37"/>
      <c r="I38" s="5"/>
      <c r="J38" s="5"/>
      <c r="K38" s="30"/>
      <c r="M38" s="37"/>
      <c r="N38" s="5"/>
      <c r="O38" s="52"/>
      <c r="P38" s="39"/>
      <c r="R38" s="37"/>
      <c r="S38" s="52"/>
      <c r="T38" s="52"/>
      <c r="U38" s="39"/>
      <c r="Y38" s="20" t="s">
        <v>91</v>
      </c>
      <c r="Z38" s="68">
        <v>1</v>
      </c>
      <c r="AA38" s="68">
        <v>1</v>
      </c>
      <c r="AB38" s="68">
        <v>1</v>
      </c>
      <c r="AC38" s="68">
        <v>0</v>
      </c>
      <c r="AD38" s="68">
        <v>0</v>
      </c>
      <c r="AE38" s="68">
        <v>1</v>
      </c>
      <c r="AF38" s="68">
        <v>0</v>
      </c>
      <c r="AG38" s="68">
        <v>0</v>
      </c>
      <c r="AH38" s="68">
        <v>0</v>
      </c>
      <c r="AI38" s="68">
        <v>1</v>
      </c>
      <c r="AJ38" s="68">
        <v>0</v>
      </c>
      <c r="AK38" s="68">
        <v>0</v>
      </c>
      <c r="AL38" s="68">
        <v>0</v>
      </c>
      <c r="AM38" s="68">
        <v>1</v>
      </c>
      <c r="AN38" s="68">
        <v>0</v>
      </c>
      <c r="AO38" s="68">
        <v>0</v>
      </c>
      <c r="AP38" s="68">
        <v>0</v>
      </c>
      <c r="AQ38" s="68">
        <v>1</v>
      </c>
      <c r="AR38" s="68">
        <v>0</v>
      </c>
      <c r="AS38" s="68">
        <v>0</v>
      </c>
      <c r="AT38" s="68">
        <v>0</v>
      </c>
      <c r="AU38" s="68">
        <v>1</v>
      </c>
      <c r="AV38" s="68">
        <v>0</v>
      </c>
      <c r="AW38" s="68">
        <v>0</v>
      </c>
      <c r="AX38" s="68">
        <v>0</v>
      </c>
      <c r="AY38" s="68">
        <v>1</v>
      </c>
      <c r="AZ38" s="68">
        <v>0</v>
      </c>
      <c r="BA38" s="68">
        <v>0</v>
      </c>
      <c r="BB38" s="68">
        <v>1</v>
      </c>
      <c r="BC38" s="68">
        <v>1</v>
      </c>
      <c r="BD38" s="68">
        <v>1</v>
      </c>
      <c r="BE38" s="73">
        <v>0</v>
      </c>
      <c r="BG38" s="71" t="s">
        <v>91</v>
      </c>
      <c r="BH38" s="70" t="s">
        <v>117</v>
      </c>
      <c r="BI38" s="69"/>
      <c r="BR38" s="14">
        <v>3</v>
      </c>
      <c r="BS38" s="18">
        <v>34</v>
      </c>
      <c r="BT38" s="12">
        <f t="shared" si="0"/>
        <v>306</v>
      </c>
    </row>
    <row r="39" spans="3:72" ht="30" customHeight="1" x14ac:dyDescent="0.25">
      <c r="C39" s="37"/>
      <c r="D39" s="5"/>
      <c r="E39" s="5"/>
      <c r="F39" s="30"/>
      <c r="H39" s="37"/>
      <c r="I39" s="5"/>
      <c r="J39" s="5"/>
      <c r="K39" s="30"/>
      <c r="M39" s="37"/>
      <c r="N39" s="5"/>
      <c r="O39" s="5"/>
      <c r="P39" s="39"/>
      <c r="R39" s="37"/>
      <c r="S39" s="5"/>
      <c r="T39" s="5"/>
      <c r="U39" s="39"/>
      <c r="Y39" s="20" t="s">
        <v>92</v>
      </c>
      <c r="Z39" s="68">
        <v>0</v>
      </c>
      <c r="AA39" s="68">
        <v>1</v>
      </c>
      <c r="AB39" s="68">
        <v>1</v>
      </c>
      <c r="AC39" s="68">
        <v>1</v>
      </c>
      <c r="AD39" s="68">
        <v>0</v>
      </c>
      <c r="AE39" s="68">
        <v>0</v>
      </c>
      <c r="AF39" s="68">
        <v>0</v>
      </c>
      <c r="AG39" s="68">
        <v>1</v>
      </c>
      <c r="AH39" s="68">
        <v>0</v>
      </c>
      <c r="AI39" s="68">
        <v>0</v>
      </c>
      <c r="AJ39" s="68">
        <v>0</v>
      </c>
      <c r="AK39" s="68">
        <v>1</v>
      </c>
      <c r="AL39" s="68">
        <v>0</v>
      </c>
      <c r="AM39" s="68">
        <v>0</v>
      </c>
      <c r="AN39" s="68">
        <v>0</v>
      </c>
      <c r="AO39" s="68">
        <v>1</v>
      </c>
      <c r="AP39" s="68">
        <v>0</v>
      </c>
      <c r="AQ39" s="68">
        <v>0</v>
      </c>
      <c r="AR39" s="68">
        <v>0</v>
      </c>
      <c r="AS39" s="68">
        <v>1</v>
      </c>
      <c r="AT39" s="68">
        <v>0</v>
      </c>
      <c r="AU39" s="68">
        <v>0</v>
      </c>
      <c r="AV39" s="68">
        <v>0</v>
      </c>
      <c r="AW39" s="68">
        <v>1</v>
      </c>
      <c r="AX39" s="68">
        <v>0</v>
      </c>
      <c r="AY39" s="68">
        <v>1</v>
      </c>
      <c r="AZ39" s="68">
        <v>0</v>
      </c>
      <c r="BA39" s="68">
        <v>1</v>
      </c>
      <c r="BB39" s="68">
        <v>0</v>
      </c>
      <c r="BC39" s="68">
        <v>0</v>
      </c>
      <c r="BD39" s="68">
        <v>1</v>
      </c>
      <c r="BE39" s="73">
        <v>0</v>
      </c>
      <c r="BG39" s="71" t="s">
        <v>92</v>
      </c>
      <c r="BH39" s="70" t="s">
        <v>118</v>
      </c>
      <c r="BI39" s="69"/>
      <c r="BR39" s="14">
        <v>4</v>
      </c>
      <c r="BS39" s="18">
        <v>35</v>
      </c>
      <c r="BT39" s="12">
        <f t="shared" si="0"/>
        <v>560</v>
      </c>
    </row>
    <row r="40" spans="3:72" ht="30" customHeight="1" x14ac:dyDescent="0.25">
      <c r="C40" s="37"/>
      <c r="D40" s="5"/>
      <c r="E40" s="5"/>
      <c r="F40" s="30"/>
      <c r="H40" s="37"/>
      <c r="I40" s="5"/>
      <c r="J40" s="5"/>
      <c r="K40" s="30"/>
      <c r="M40" s="37"/>
      <c r="N40" s="5"/>
      <c r="O40" s="5"/>
      <c r="P40" s="39"/>
      <c r="R40" s="37"/>
      <c r="S40" s="5"/>
      <c r="T40" s="5"/>
      <c r="U40" s="39"/>
      <c r="Y40" s="20" t="s">
        <v>93</v>
      </c>
      <c r="Z40" s="68">
        <v>1</v>
      </c>
      <c r="AA40" s="68">
        <v>0</v>
      </c>
      <c r="AB40" s="68">
        <v>1</v>
      </c>
      <c r="AC40" s="68">
        <v>0</v>
      </c>
      <c r="AD40" s="68">
        <v>1</v>
      </c>
      <c r="AE40" s="68">
        <v>0</v>
      </c>
      <c r="AF40" s="68">
        <v>1</v>
      </c>
      <c r="AG40" s="68">
        <v>0</v>
      </c>
      <c r="AH40" s="68">
        <v>1</v>
      </c>
      <c r="AI40" s="68">
        <v>0</v>
      </c>
      <c r="AJ40" s="68">
        <v>1</v>
      </c>
      <c r="AK40" s="68">
        <v>0</v>
      </c>
      <c r="AL40" s="68">
        <v>1</v>
      </c>
      <c r="AM40" s="68">
        <v>1</v>
      </c>
      <c r="AN40" s="68">
        <v>0</v>
      </c>
      <c r="AO40" s="68">
        <v>0</v>
      </c>
      <c r="AP40" s="68">
        <v>1</v>
      </c>
      <c r="AQ40" s="68">
        <v>1</v>
      </c>
      <c r="AR40" s="68">
        <v>1</v>
      </c>
      <c r="AS40" s="68">
        <v>0</v>
      </c>
      <c r="AT40" s="68">
        <v>1</v>
      </c>
      <c r="AU40" s="68">
        <v>0</v>
      </c>
      <c r="AV40" s="68">
        <v>1</v>
      </c>
      <c r="AW40" s="68">
        <v>0</v>
      </c>
      <c r="AX40" s="68">
        <v>1</v>
      </c>
      <c r="AY40" s="68">
        <v>0</v>
      </c>
      <c r="AZ40" s="68">
        <v>1</v>
      </c>
      <c r="BA40" s="68">
        <v>0</v>
      </c>
      <c r="BB40" s="68">
        <v>1</v>
      </c>
      <c r="BC40" s="68">
        <v>0</v>
      </c>
      <c r="BD40" s="68">
        <v>1</v>
      </c>
      <c r="BE40" s="73">
        <v>0</v>
      </c>
      <c r="BG40" s="71" t="s">
        <v>93</v>
      </c>
      <c r="BH40" s="70" t="s">
        <v>119</v>
      </c>
      <c r="BI40" s="69"/>
      <c r="BR40" s="14">
        <v>10</v>
      </c>
      <c r="BS40" s="18">
        <v>36</v>
      </c>
      <c r="BT40" s="12">
        <f t="shared" si="0"/>
        <v>3600</v>
      </c>
    </row>
    <row r="41" spans="3:72" ht="30" customHeight="1" x14ac:dyDescent="0.25">
      <c r="C41" s="40"/>
      <c r="D41" s="41"/>
      <c r="E41" s="41"/>
      <c r="F41" s="42"/>
      <c r="H41" s="40"/>
      <c r="I41" s="32"/>
      <c r="J41" s="32"/>
      <c r="K41" s="33"/>
      <c r="M41" s="55"/>
      <c r="N41" s="41"/>
      <c r="O41" s="41"/>
      <c r="P41" s="42"/>
      <c r="R41" s="40"/>
      <c r="S41" s="32"/>
      <c r="T41" s="32"/>
      <c r="U41" s="42"/>
      <c r="Y41" s="20" t="s">
        <v>94</v>
      </c>
      <c r="Z41" s="68">
        <v>1</v>
      </c>
      <c r="AA41" s="68">
        <v>0</v>
      </c>
      <c r="AB41" s="68">
        <v>0</v>
      </c>
      <c r="AC41" s="68">
        <v>0</v>
      </c>
      <c r="AD41" s="68">
        <v>1</v>
      </c>
      <c r="AE41" s="68">
        <v>0</v>
      </c>
      <c r="AF41" s="68">
        <v>0</v>
      </c>
      <c r="AG41" s="68">
        <v>0</v>
      </c>
      <c r="AH41" s="68">
        <v>1</v>
      </c>
      <c r="AI41" s="68">
        <v>0</v>
      </c>
      <c r="AJ41" s="68">
        <v>0</v>
      </c>
      <c r="AK41" s="68">
        <v>0</v>
      </c>
      <c r="AL41" s="68">
        <v>1</v>
      </c>
      <c r="AM41" s="68">
        <v>0</v>
      </c>
      <c r="AN41" s="68">
        <v>0</v>
      </c>
      <c r="AO41" s="68">
        <v>0</v>
      </c>
      <c r="AP41" s="68">
        <v>1</v>
      </c>
      <c r="AQ41" s="68">
        <v>0</v>
      </c>
      <c r="AR41" s="68">
        <v>0</v>
      </c>
      <c r="AS41" s="68">
        <v>0</v>
      </c>
      <c r="AT41" s="68">
        <v>1</v>
      </c>
      <c r="AU41" s="68">
        <v>0</v>
      </c>
      <c r="AV41" s="68">
        <v>0</v>
      </c>
      <c r="AW41" s="68">
        <v>0</v>
      </c>
      <c r="AX41" s="68">
        <v>1</v>
      </c>
      <c r="AY41" s="68">
        <v>0</v>
      </c>
      <c r="AZ41" s="68">
        <v>0</v>
      </c>
      <c r="BA41" s="68">
        <v>0</v>
      </c>
      <c r="BB41" s="68">
        <v>1</v>
      </c>
      <c r="BC41" s="68">
        <v>1</v>
      </c>
      <c r="BD41" s="68">
        <v>1</v>
      </c>
      <c r="BE41" s="73">
        <v>1</v>
      </c>
      <c r="BG41" s="71" t="s">
        <v>94</v>
      </c>
      <c r="BH41" s="70" t="s">
        <v>120</v>
      </c>
      <c r="BI41" s="69"/>
      <c r="BR41" s="14">
        <v>6</v>
      </c>
      <c r="BS41" s="18">
        <v>37</v>
      </c>
      <c r="BT41" s="12">
        <f t="shared" si="0"/>
        <v>1332</v>
      </c>
    </row>
    <row r="42" spans="3:72" ht="30" customHeight="1" x14ac:dyDescent="0.25">
      <c r="Y42" s="20" t="s">
        <v>95</v>
      </c>
      <c r="Z42" s="68">
        <v>1</v>
      </c>
      <c r="AA42" s="68">
        <v>0</v>
      </c>
      <c r="AB42" s="68">
        <v>0</v>
      </c>
      <c r="AC42" s="68">
        <v>1</v>
      </c>
      <c r="AD42" s="68">
        <v>1</v>
      </c>
      <c r="AE42" s="68">
        <v>1</v>
      </c>
      <c r="AF42" s="68">
        <v>1</v>
      </c>
      <c r="AG42" s="68">
        <v>1</v>
      </c>
      <c r="AH42" s="68">
        <v>1</v>
      </c>
      <c r="AI42" s="68">
        <v>0</v>
      </c>
      <c r="AJ42" s="68">
        <v>0</v>
      </c>
      <c r="AK42" s="68">
        <v>1</v>
      </c>
      <c r="AL42" s="68">
        <v>1</v>
      </c>
      <c r="AM42" s="68">
        <v>0</v>
      </c>
      <c r="AN42" s="68">
        <v>0</v>
      </c>
      <c r="AO42" s="68">
        <v>1</v>
      </c>
      <c r="AP42" s="68">
        <v>1</v>
      </c>
      <c r="AQ42" s="68">
        <v>0</v>
      </c>
      <c r="AR42" s="68">
        <v>0</v>
      </c>
      <c r="AS42" s="68">
        <v>1</v>
      </c>
      <c r="AT42" s="68">
        <v>1</v>
      </c>
      <c r="AU42" s="68">
        <v>0</v>
      </c>
      <c r="AV42" s="68">
        <v>0</v>
      </c>
      <c r="AW42" s="68">
        <v>1</v>
      </c>
      <c r="AX42" s="68">
        <v>1</v>
      </c>
      <c r="AY42" s="68">
        <v>0</v>
      </c>
      <c r="AZ42" s="68">
        <v>0</v>
      </c>
      <c r="BA42" s="68">
        <v>1</v>
      </c>
      <c r="BB42" s="68">
        <v>1</v>
      </c>
      <c r="BC42" s="68">
        <v>0</v>
      </c>
      <c r="BD42" s="68">
        <v>0</v>
      </c>
      <c r="BE42" s="73">
        <v>1</v>
      </c>
      <c r="BG42" s="71" t="s">
        <v>95</v>
      </c>
      <c r="BH42" s="70" t="s">
        <v>121</v>
      </c>
      <c r="BI42" s="69"/>
      <c r="BR42" s="14">
        <v>11</v>
      </c>
      <c r="BS42" s="18">
        <v>38</v>
      </c>
      <c r="BT42" s="12">
        <f t="shared" si="0"/>
        <v>4598</v>
      </c>
    </row>
    <row r="43" spans="3:72" ht="30" customHeight="1" x14ac:dyDescent="0.25">
      <c r="C43" s="34"/>
      <c r="D43" s="35"/>
      <c r="E43" s="35"/>
      <c r="F43" s="51"/>
      <c r="H43" s="50"/>
      <c r="I43" s="35"/>
      <c r="J43" s="35"/>
      <c r="K43" s="36"/>
      <c r="M43" s="34"/>
      <c r="N43" s="27"/>
      <c r="O43" s="35"/>
      <c r="P43" s="51"/>
      <c r="R43" s="34"/>
      <c r="S43" s="27"/>
      <c r="T43" s="27"/>
      <c r="U43" s="28"/>
      <c r="Y43" s="20" t="s">
        <v>96</v>
      </c>
      <c r="Z43" s="68">
        <v>1</v>
      </c>
      <c r="AA43" s="68">
        <v>1</v>
      </c>
      <c r="AB43" s="68">
        <v>1</v>
      </c>
      <c r="AC43" s="68">
        <v>0</v>
      </c>
      <c r="AD43" s="68">
        <v>1</v>
      </c>
      <c r="AE43" s="68">
        <v>0</v>
      </c>
      <c r="AF43" s="68">
        <v>0</v>
      </c>
      <c r="AG43" s="68">
        <v>1</v>
      </c>
      <c r="AH43" s="68">
        <v>1</v>
      </c>
      <c r="AI43" s="68">
        <v>0</v>
      </c>
      <c r="AJ43" s="68">
        <v>0</v>
      </c>
      <c r="AK43" s="68">
        <v>1</v>
      </c>
      <c r="AL43" s="68">
        <v>1</v>
      </c>
      <c r="AM43" s="68">
        <v>0</v>
      </c>
      <c r="AN43" s="68">
        <v>0</v>
      </c>
      <c r="AO43" s="68">
        <v>1</v>
      </c>
      <c r="AP43" s="68">
        <v>1</v>
      </c>
      <c r="AQ43" s="68">
        <v>0</v>
      </c>
      <c r="AR43" s="68">
        <v>0</v>
      </c>
      <c r="AS43" s="68">
        <v>1</v>
      </c>
      <c r="AT43" s="68">
        <v>1</v>
      </c>
      <c r="AU43" s="68">
        <v>0</v>
      </c>
      <c r="AV43" s="68">
        <v>0</v>
      </c>
      <c r="AW43" s="68">
        <v>1</v>
      </c>
      <c r="AX43" s="68">
        <v>1</v>
      </c>
      <c r="AY43" s="68">
        <v>0</v>
      </c>
      <c r="AZ43" s="68">
        <v>0</v>
      </c>
      <c r="BA43" s="68">
        <v>1</v>
      </c>
      <c r="BB43" s="68">
        <v>1</v>
      </c>
      <c r="BC43" s="68">
        <v>0</v>
      </c>
      <c r="BD43" s="68">
        <v>0</v>
      </c>
      <c r="BE43" s="73">
        <v>1</v>
      </c>
      <c r="BG43" s="71" t="s">
        <v>96</v>
      </c>
      <c r="BH43" s="70" t="s">
        <v>122</v>
      </c>
      <c r="BI43" s="69"/>
      <c r="BR43" s="14">
        <v>15</v>
      </c>
      <c r="BS43" s="18">
        <v>39</v>
      </c>
      <c r="BT43" s="12">
        <f t="shared" si="0"/>
        <v>8775</v>
      </c>
    </row>
    <row r="44" spans="3:72" ht="30" customHeight="1" x14ac:dyDescent="0.25">
      <c r="C44" s="29"/>
      <c r="D44" s="38"/>
      <c r="E44" s="52"/>
      <c r="F44" s="30"/>
      <c r="H44" s="29"/>
      <c r="I44" s="5"/>
      <c r="J44" s="52"/>
      <c r="K44" s="39"/>
      <c r="M44" s="37"/>
      <c r="N44" s="5"/>
      <c r="O44" s="38"/>
      <c r="P44" s="53"/>
      <c r="R44" s="37"/>
      <c r="S44" s="5"/>
      <c r="T44" s="5"/>
      <c r="U44" s="30"/>
      <c r="Y44" s="20" t="s">
        <v>97</v>
      </c>
      <c r="Z44" s="68">
        <v>0</v>
      </c>
      <c r="AA44" s="68">
        <v>1</v>
      </c>
      <c r="AB44" s="68">
        <v>1</v>
      </c>
      <c r="AC44" s="68">
        <v>0</v>
      </c>
      <c r="AD44" s="68">
        <v>1</v>
      </c>
      <c r="AE44" s="68">
        <v>0</v>
      </c>
      <c r="AF44" s="68">
        <v>0</v>
      </c>
      <c r="AG44" s="68">
        <v>1</v>
      </c>
      <c r="AH44" s="68">
        <v>1</v>
      </c>
      <c r="AI44" s="68">
        <v>0</v>
      </c>
      <c r="AJ44" s="68">
        <v>0</v>
      </c>
      <c r="AK44" s="68">
        <v>1</v>
      </c>
      <c r="AL44" s="68">
        <v>1</v>
      </c>
      <c r="AM44" s="68">
        <v>0</v>
      </c>
      <c r="AN44" s="68">
        <v>0</v>
      </c>
      <c r="AO44" s="68">
        <v>1</v>
      </c>
      <c r="AP44" s="68">
        <v>1</v>
      </c>
      <c r="AQ44" s="68">
        <v>0</v>
      </c>
      <c r="AR44" s="68">
        <v>0</v>
      </c>
      <c r="AS44" s="68">
        <v>1</v>
      </c>
      <c r="AT44" s="68">
        <v>1</v>
      </c>
      <c r="AU44" s="68">
        <v>0</v>
      </c>
      <c r="AV44" s="68">
        <v>0</v>
      </c>
      <c r="AW44" s="68">
        <v>1</v>
      </c>
      <c r="AX44" s="68">
        <v>1</v>
      </c>
      <c r="AY44" s="68">
        <v>0</v>
      </c>
      <c r="AZ44" s="68">
        <v>0</v>
      </c>
      <c r="BA44" s="68">
        <v>1</v>
      </c>
      <c r="BB44" s="68">
        <v>0</v>
      </c>
      <c r="BC44" s="68">
        <v>1</v>
      </c>
      <c r="BD44" s="68">
        <v>1</v>
      </c>
      <c r="BE44" s="73">
        <v>0</v>
      </c>
      <c r="BG44" s="71" t="s">
        <v>97</v>
      </c>
      <c r="BH44" s="70" t="s">
        <v>123</v>
      </c>
      <c r="BI44" s="69"/>
      <c r="BR44" s="14">
        <v>16</v>
      </c>
      <c r="BS44" s="18">
        <v>40</v>
      </c>
      <c r="BT44" s="12">
        <f t="shared" si="0"/>
        <v>10240</v>
      </c>
    </row>
    <row r="45" spans="3:72" ht="30" customHeight="1" x14ac:dyDescent="0.25">
      <c r="C45" s="29"/>
      <c r="D45" s="38"/>
      <c r="E45" s="52"/>
      <c r="F45" s="30"/>
      <c r="H45" s="29"/>
      <c r="I45" s="5"/>
      <c r="J45" s="52"/>
      <c r="K45" s="39"/>
      <c r="M45" s="37"/>
      <c r="N45" s="5"/>
      <c r="O45" s="38"/>
      <c r="P45" s="53"/>
      <c r="R45" s="37"/>
      <c r="S45" s="5"/>
      <c r="T45" s="5"/>
      <c r="U45" s="30"/>
      <c r="Y45" s="20" t="s">
        <v>98</v>
      </c>
      <c r="Z45" s="68">
        <v>1</v>
      </c>
      <c r="AA45" s="68">
        <v>1</v>
      </c>
      <c r="AB45" s="68">
        <v>1</v>
      </c>
      <c r="AC45" s="68">
        <v>0</v>
      </c>
      <c r="AD45" s="68">
        <v>1</v>
      </c>
      <c r="AE45" s="68">
        <v>0</v>
      </c>
      <c r="AF45" s="68">
        <v>0</v>
      </c>
      <c r="AG45" s="68">
        <v>1</v>
      </c>
      <c r="AH45" s="68">
        <v>1</v>
      </c>
      <c r="AI45" s="68">
        <v>0</v>
      </c>
      <c r="AJ45" s="68">
        <v>0</v>
      </c>
      <c r="AK45" s="68">
        <v>1</v>
      </c>
      <c r="AL45" s="68">
        <v>1</v>
      </c>
      <c r="AM45" s="68">
        <v>1</v>
      </c>
      <c r="AN45" s="68">
        <v>1</v>
      </c>
      <c r="AO45" s="68">
        <v>0</v>
      </c>
      <c r="AP45" s="68">
        <v>1</v>
      </c>
      <c r="AQ45" s="68">
        <v>0</v>
      </c>
      <c r="AR45" s="68">
        <v>0</v>
      </c>
      <c r="AS45" s="68">
        <v>0</v>
      </c>
      <c r="AT45" s="68">
        <v>1</v>
      </c>
      <c r="AU45" s="68">
        <v>0</v>
      </c>
      <c r="AV45" s="68">
        <v>0</v>
      </c>
      <c r="AW45" s="68">
        <v>0</v>
      </c>
      <c r="AX45" s="68">
        <v>1</v>
      </c>
      <c r="AY45" s="68">
        <v>0</v>
      </c>
      <c r="AZ45" s="68">
        <v>0</v>
      </c>
      <c r="BA45" s="68">
        <v>0</v>
      </c>
      <c r="BB45" s="68">
        <v>1</v>
      </c>
      <c r="BC45" s="68">
        <v>0</v>
      </c>
      <c r="BD45" s="68">
        <v>0</v>
      </c>
      <c r="BE45" s="73">
        <v>0</v>
      </c>
      <c r="BG45" s="71" t="s">
        <v>98</v>
      </c>
      <c r="BH45" s="70" t="s">
        <v>124</v>
      </c>
      <c r="BI45" s="69"/>
      <c r="BR45" s="14">
        <v>91</v>
      </c>
      <c r="BS45" s="18">
        <v>41</v>
      </c>
      <c r="BT45" s="12">
        <f t="shared" si="0"/>
        <v>339521</v>
      </c>
    </row>
    <row r="46" spans="3:72" ht="30" customHeight="1" x14ac:dyDescent="0.25">
      <c r="C46" s="29"/>
      <c r="D46" s="38"/>
      <c r="E46" s="52"/>
      <c r="F46" s="30"/>
      <c r="H46" s="29"/>
      <c r="I46" s="5"/>
      <c r="J46" s="52"/>
      <c r="K46" s="39"/>
      <c r="M46" s="37"/>
      <c r="N46" s="38"/>
      <c r="O46" s="5"/>
      <c r="P46" s="53"/>
      <c r="R46" s="37"/>
      <c r="S46" s="5"/>
      <c r="T46" s="5"/>
      <c r="U46" s="30"/>
      <c r="Y46" s="20" t="s">
        <v>99</v>
      </c>
      <c r="Z46" s="68">
        <v>0</v>
      </c>
      <c r="AA46" s="68">
        <v>1</v>
      </c>
      <c r="AB46" s="68">
        <v>0</v>
      </c>
      <c r="AC46" s="68">
        <v>0</v>
      </c>
      <c r="AD46" s="68">
        <v>1</v>
      </c>
      <c r="AE46" s="68">
        <v>0</v>
      </c>
      <c r="AF46" s="68">
        <v>1</v>
      </c>
      <c r="AG46" s="68">
        <v>0</v>
      </c>
      <c r="AH46" s="68">
        <v>1</v>
      </c>
      <c r="AI46" s="68">
        <v>0</v>
      </c>
      <c r="AJ46" s="68">
        <v>1</v>
      </c>
      <c r="AK46" s="68">
        <v>0</v>
      </c>
      <c r="AL46" s="68">
        <v>1</v>
      </c>
      <c r="AM46" s="68">
        <v>0</v>
      </c>
      <c r="AN46" s="68">
        <v>1</v>
      </c>
      <c r="AO46" s="68">
        <v>0</v>
      </c>
      <c r="AP46" s="68">
        <v>1</v>
      </c>
      <c r="AQ46" s="68">
        <v>0</v>
      </c>
      <c r="AR46" s="68">
        <v>1</v>
      </c>
      <c r="AS46" s="68">
        <v>0</v>
      </c>
      <c r="AT46" s="68">
        <v>1</v>
      </c>
      <c r="AU46" s="68">
        <v>0</v>
      </c>
      <c r="AV46" s="68">
        <v>1</v>
      </c>
      <c r="AW46" s="68">
        <v>0</v>
      </c>
      <c r="AX46" s="68">
        <v>1</v>
      </c>
      <c r="AY46" s="68">
        <v>0</v>
      </c>
      <c r="AZ46" s="68">
        <v>1</v>
      </c>
      <c r="BA46" s="68">
        <v>0</v>
      </c>
      <c r="BB46" s="68">
        <v>0</v>
      </c>
      <c r="BC46" s="68">
        <v>1</v>
      </c>
      <c r="BD46" s="68">
        <v>1</v>
      </c>
      <c r="BE46" s="73">
        <v>0</v>
      </c>
      <c r="BG46" s="71" t="s">
        <v>99</v>
      </c>
      <c r="BH46" s="70" t="s">
        <v>125</v>
      </c>
      <c r="BI46" s="69"/>
      <c r="BR46" s="14">
        <v>21</v>
      </c>
      <c r="BS46" s="18">
        <v>42</v>
      </c>
      <c r="BT46" s="12">
        <f t="shared" si="0"/>
        <v>18522</v>
      </c>
    </row>
    <row r="47" spans="3:72" ht="30" customHeight="1" x14ac:dyDescent="0.25">
      <c r="C47" s="29"/>
      <c r="D47" s="38"/>
      <c r="E47" s="52"/>
      <c r="F47" s="30"/>
      <c r="H47" s="29"/>
      <c r="I47" s="5"/>
      <c r="J47" s="52"/>
      <c r="K47" s="39"/>
      <c r="M47" s="37"/>
      <c r="N47" s="38"/>
      <c r="O47" s="38"/>
      <c r="P47" s="53"/>
      <c r="R47" s="37"/>
      <c r="S47" s="5"/>
      <c r="T47" s="5"/>
      <c r="U47" s="30"/>
      <c r="Y47" s="20" t="s">
        <v>100</v>
      </c>
      <c r="Z47" s="68">
        <v>1</v>
      </c>
      <c r="AA47" s="68">
        <v>1</v>
      </c>
      <c r="AB47" s="68">
        <v>1</v>
      </c>
      <c r="AC47" s="68">
        <v>0</v>
      </c>
      <c r="AD47" s="68">
        <v>1</v>
      </c>
      <c r="AE47" s="68">
        <v>0</v>
      </c>
      <c r="AF47" s="68">
        <v>0</v>
      </c>
      <c r="AG47" s="68">
        <v>1</v>
      </c>
      <c r="AH47" s="68">
        <v>1</v>
      </c>
      <c r="AI47" s="68">
        <v>0</v>
      </c>
      <c r="AJ47" s="68">
        <v>0</v>
      </c>
      <c r="AK47" s="68">
        <v>1</v>
      </c>
      <c r="AL47" s="68">
        <v>1</v>
      </c>
      <c r="AM47" s="68">
        <v>1</v>
      </c>
      <c r="AN47" s="68">
        <v>1</v>
      </c>
      <c r="AO47" s="68">
        <v>0</v>
      </c>
      <c r="AP47" s="68">
        <v>1</v>
      </c>
      <c r="AQ47" s="68">
        <v>0</v>
      </c>
      <c r="AR47" s="68">
        <v>0</v>
      </c>
      <c r="AS47" s="68">
        <v>1</v>
      </c>
      <c r="AT47" s="68">
        <v>1</v>
      </c>
      <c r="AU47" s="68">
        <v>0</v>
      </c>
      <c r="AV47" s="68">
        <v>0</v>
      </c>
      <c r="AW47" s="68">
        <v>1</v>
      </c>
      <c r="AX47" s="68">
        <v>1</v>
      </c>
      <c r="AY47" s="68">
        <v>0</v>
      </c>
      <c r="AZ47" s="68">
        <v>0</v>
      </c>
      <c r="BA47" s="68">
        <v>1</v>
      </c>
      <c r="BB47" s="68">
        <v>1</v>
      </c>
      <c r="BC47" s="68">
        <v>0</v>
      </c>
      <c r="BD47" s="68">
        <v>0</v>
      </c>
      <c r="BE47" s="73">
        <v>1</v>
      </c>
      <c r="BG47" s="71" t="s">
        <v>100</v>
      </c>
      <c r="BH47" s="70" t="s">
        <v>126</v>
      </c>
      <c r="BI47" s="69"/>
      <c r="BR47" s="14">
        <v>28</v>
      </c>
      <c r="BS47" s="18">
        <v>43</v>
      </c>
      <c r="BT47" s="12">
        <f t="shared" si="0"/>
        <v>33712</v>
      </c>
    </row>
    <row r="48" spans="3:72" ht="30" customHeight="1" x14ac:dyDescent="0.25">
      <c r="C48" s="29"/>
      <c r="D48" s="38"/>
      <c r="E48" s="52"/>
      <c r="F48" s="30"/>
      <c r="H48" s="57"/>
      <c r="I48" s="52"/>
      <c r="J48" s="52"/>
      <c r="K48" s="39"/>
      <c r="M48" s="37"/>
      <c r="N48" s="5"/>
      <c r="O48" s="38"/>
      <c r="P48" s="53"/>
      <c r="R48" s="37"/>
      <c r="S48" s="5"/>
      <c r="T48" s="5"/>
      <c r="U48" s="30"/>
      <c r="Y48" s="20" t="s">
        <v>101</v>
      </c>
      <c r="Z48" s="68">
        <v>0</v>
      </c>
      <c r="AA48" s="68">
        <v>1</v>
      </c>
      <c r="AB48" s="68">
        <v>1</v>
      </c>
      <c r="AC48" s="68">
        <v>1</v>
      </c>
      <c r="AD48" s="68">
        <v>1</v>
      </c>
      <c r="AE48" s="68">
        <v>0</v>
      </c>
      <c r="AF48" s="68">
        <v>0</v>
      </c>
      <c r="AG48" s="68">
        <v>0</v>
      </c>
      <c r="AH48" s="68">
        <v>1</v>
      </c>
      <c r="AI48" s="68">
        <v>0</v>
      </c>
      <c r="AJ48" s="68">
        <v>0</v>
      </c>
      <c r="AK48" s="68">
        <v>0</v>
      </c>
      <c r="AL48" s="68">
        <v>0</v>
      </c>
      <c r="AM48" s="68">
        <v>1</v>
      </c>
      <c r="AN48" s="68">
        <v>1</v>
      </c>
      <c r="AO48" s="68">
        <v>0</v>
      </c>
      <c r="AP48" s="68">
        <v>0</v>
      </c>
      <c r="AQ48" s="68">
        <v>0</v>
      </c>
      <c r="AR48" s="68">
        <v>0</v>
      </c>
      <c r="AS48" s="68">
        <v>1</v>
      </c>
      <c r="AT48" s="68">
        <v>0</v>
      </c>
      <c r="AU48" s="68">
        <v>0</v>
      </c>
      <c r="AV48" s="68">
        <v>0</v>
      </c>
      <c r="AW48" s="68">
        <v>1</v>
      </c>
      <c r="AX48" s="68">
        <v>0</v>
      </c>
      <c r="AY48" s="68">
        <v>0</v>
      </c>
      <c r="AZ48" s="68">
        <v>0</v>
      </c>
      <c r="BA48" s="68">
        <v>1</v>
      </c>
      <c r="BB48" s="68">
        <v>1</v>
      </c>
      <c r="BC48" s="68">
        <v>1</v>
      </c>
      <c r="BD48" s="68">
        <v>1</v>
      </c>
      <c r="BE48" s="73">
        <v>0</v>
      </c>
      <c r="BG48" s="71" t="s">
        <v>101</v>
      </c>
      <c r="BH48" s="70" t="s">
        <v>127</v>
      </c>
      <c r="BI48" s="69"/>
      <c r="BR48" s="14">
        <v>70</v>
      </c>
      <c r="BS48" s="18">
        <v>44</v>
      </c>
      <c r="BT48" s="12">
        <f t="shared" si="0"/>
        <v>215600</v>
      </c>
    </row>
    <row r="49" spans="3:72" ht="30" customHeight="1" x14ac:dyDescent="0.25">
      <c r="C49" s="29"/>
      <c r="D49" s="38"/>
      <c r="E49" s="52"/>
      <c r="F49" s="30"/>
      <c r="H49" s="57"/>
      <c r="I49" s="38"/>
      <c r="J49" s="52"/>
      <c r="K49" s="39"/>
      <c r="M49" s="37"/>
      <c r="N49" s="5"/>
      <c r="O49" s="38"/>
      <c r="P49" s="53"/>
      <c r="R49" s="37"/>
      <c r="S49" s="5"/>
      <c r="T49" s="5"/>
      <c r="U49" s="30"/>
      <c r="Y49" s="20" t="s">
        <v>102</v>
      </c>
      <c r="Z49" s="68">
        <v>1</v>
      </c>
      <c r="AA49" s="68">
        <v>1</v>
      </c>
      <c r="AB49" s="68">
        <v>1</v>
      </c>
      <c r="AC49" s="68">
        <v>0</v>
      </c>
      <c r="AD49" s="68">
        <v>0</v>
      </c>
      <c r="AE49" s="68">
        <v>1</v>
      </c>
      <c r="AF49" s="68">
        <v>0</v>
      </c>
      <c r="AG49" s="68">
        <v>0</v>
      </c>
      <c r="AH49" s="68">
        <v>0</v>
      </c>
      <c r="AI49" s="68">
        <v>1</v>
      </c>
      <c r="AJ49" s="68">
        <v>0</v>
      </c>
      <c r="AK49" s="68">
        <v>0</v>
      </c>
      <c r="AL49" s="68">
        <v>0</v>
      </c>
      <c r="AM49" s="68">
        <v>1</v>
      </c>
      <c r="AN49" s="68">
        <v>0</v>
      </c>
      <c r="AO49" s="68">
        <v>0</v>
      </c>
      <c r="AP49" s="68">
        <v>0</v>
      </c>
      <c r="AQ49" s="68">
        <v>1</v>
      </c>
      <c r="AR49" s="68">
        <v>0</v>
      </c>
      <c r="AS49" s="68">
        <v>0</v>
      </c>
      <c r="AT49" s="68">
        <v>0</v>
      </c>
      <c r="AU49" s="68">
        <v>1</v>
      </c>
      <c r="AV49" s="68">
        <v>0</v>
      </c>
      <c r="AW49" s="68">
        <v>0</v>
      </c>
      <c r="AX49" s="68">
        <v>0</v>
      </c>
      <c r="AY49" s="68">
        <v>1</v>
      </c>
      <c r="AZ49" s="68">
        <v>0</v>
      </c>
      <c r="BA49" s="68">
        <v>0</v>
      </c>
      <c r="BB49" s="68">
        <v>0</v>
      </c>
      <c r="BC49" s="68">
        <v>1</v>
      </c>
      <c r="BD49" s="68">
        <v>0</v>
      </c>
      <c r="BE49" s="73">
        <v>0</v>
      </c>
      <c r="BG49" s="71" t="s">
        <v>102</v>
      </c>
      <c r="BH49" s="70" t="s">
        <v>128</v>
      </c>
      <c r="BI49" s="69"/>
      <c r="BR49" s="14">
        <v>42</v>
      </c>
      <c r="BS49" s="18">
        <v>45</v>
      </c>
      <c r="BT49" s="12">
        <f t="shared" si="0"/>
        <v>79380</v>
      </c>
    </row>
    <row r="50" spans="3:72" ht="30" customHeight="1" x14ac:dyDescent="0.25">
      <c r="C50" s="40"/>
      <c r="D50" s="41"/>
      <c r="E50" s="41"/>
      <c r="F50" s="54"/>
      <c r="H50" s="55"/>
      <c r="I50" s="56"/>
      <c r="J50" s="41"/>
      <c r="K50" s="33"/>
      <c r="M50" s="40"/>
      <c r="N50" s="32"/>
      <c r="O50" s="41"/>
      <c r="P50" s="54"/>
      <c r="R50" s="40"/>
      <c r="S50" s="41"/>
      <c r="T50" s="41"/>
      <c r="U50" s="42"/>
      <c r="Y50" s="20" t="s">
        <v>103</v>
      </c>
      <c r="Z50" s="68">
        <v>1</v>
      </c>
      <c r="AA50" s="68">
        <v>0</v>
      </c>
      <c r="AB50" s="68">
        <v>0</v>
      </c>
      <c r="AC50" s="68">
        <v>1</v>
      </c>
      <c r="AD50" s="68">
        <v>1</v>
      </c>
      <c r="AE50" s="68">
        <v>0</v>
      </c>
      <c r="AF50" s="68">
        <v>0</v>
      </c>
      <c r="AG50" s="68">
        <v>1</v>
      </c>
      <c r="AH50" s="68">
        <v>1</v>
      </c>
      <c r="AI50" s="68">
        <v>0</v>
      </c>
      <c r="AJ50" s="68">
        <v>0</v>
      </c>
      <c r="AK50" s="68">
        <v>1</v>
      </c>
      <c r="AL50" s="68">
        <v>1</v>
      </c>
      <c r="AM50" s="68">
        <v>0</v>
      </c>
      <c r="AN50" s="68">
        <v>0</v>
      </c>
      <c r="AO50" s="68">
        <v>1</v>
      </c>
      <c r="AP50" s="68">
        <v>1</v>
      </c>
      <c r="AQ50" s="68">
        <v>0</v>
      </c>
      <c r="AR50" s="68">
        <v>0</v>
      </c>
      <c r="AS50" s="68">
        <v>1</v>
      </c>
      <c r="AT50" s="68">
        <v>1</v>
      </c>
      <c r="AU50" s="68">
        <v>0</v>
      </c>
      <c r="AV50" s="68">
        <v>0</v>
      </c>
      <c r="AW50" s="68">
        <v>1</v>
      </c>
      <c r="AX50" s="68">
        <v>1</v>
      </c>
      <c r="AY50" s="68">
        <v>0</v>
      </c>
      <c r="AZ50" s="68">
        <v>0</v>
      </c>
      <c r="BA50" s="68">
        <v>1</v>
      </c>
      <c r="BB50" s="68">
        <v>0</v>
      </c>
      <c r="BC50" s="68">
        <v>1</v>
      </c>
      <c r="BD50" s="68">
        <v>1</v>
      </c>
      <c r="BE50" s="73">
        <v>1</v>
      </c>
      <c r="BG50" s="71" t="s">
        <v>103</v>
      </c>
      <c r="BH50" s="70" t="s">
        <v>129</v>
      </c>
      <c r="BI50" s="69"/>
      <c r="BR50" s="14">
        <v>77</v>
      </c>
      <c r="BS50" s="18">
        <v>46</v>
      </c>
      <c r="BT50" s="12">
        <f t="shared" si="0"/>
        <v>272734</v>
      </c>
    </row>
    <row r="51" spans="3:72" ht="30" customHeight="1" x14ac:dyDescent="0.25">
      <c r="Y51" s="20" t="s">
        <v>104</v>
      </c>
      <c r="Z51" s="68">
        <v>1</v>
      </c>
      <c r="AA51" s="68">
        <v>0</v>
      </c>
      <c r="AB51" s="68">
        <v>0</v>
      </c>
      <c r="AC51" s="68">
        <v>1</v>
      </c>
      <c r="AD51" s="68">
        <v>1</v>
      </c>
      <c r="AE51" s="68">
        <v>0</v>
      </c>
      <c r="AF51" s="68">
        <v>0</v>
      </c>
      <c r="AG51" s="68">
        <v>1</v>
      </c>
      <c r="AH51" s="68">
        <v>1</v>
      </c>
      <c r="AI51" s="68">
        <v>0</v>
      </c>
      <c r="AJ51" s="68">
        <v>0</v>
      </c>
      <c r="AK51" s="68">
        <v>1</v>
      </c>
      <c r="AL51" s="68">
        <v>1</v>
      </c>
      <c r="AM51" s="68">
        <v>0</v>
      </c>
      <c r="AN51" s="68">
        <v>0</v>
      </c>
      <c r="AO51" s="68">
        <v>1</v>
      </c>
      <c r="AP51" s="68">
        <v>1</v>
      </c>
      <c r="AQ51" s="68">
        <v>0</v>
      </c>
      <c r="AR51" s="68">
        <v>0</v>
      </c>
      <c r="AS51" s="68">
        <v>1</v>
      </c>
      <c r="AT51" s="68">
        <v>1</v>
      </c>
      <c r="AU51" s="68">
        <v>0</v>
      </c>
      <c r="AV51" s="68">
        <v>0</v>
      </c>
      <c r="AW51" s="68">
        <v>1</v>
      </c>
      <c r="AX51" s="68">
        <v>0</v>
      </c>
      <c r="AY51" s="68">
        <v>1</v>
      </c>
      <c r="AZ51" s="68">
        <v>1</v>
      </c>
      <c r="BA51" s="68">
        <v>0</v>
      </c>
      <c r="BB51" s="68">
        <v>0</v>
      </c>
      <c r="BC51" s="68">
        <v>1</v>
      </c>
      <c r="BD51" s="68">
        <v>1</v>
      </c>
      <c r="BE51" s="73">
        <v>0</v>
      </c>
      <c r="BG51" s="71" t="s">
        <v>104</v>
      </c>
      <c r="BH51" s="70" t="s">
        <v>130</v>
      </c>
      <c r="BI51" s="69"/>
      <c r="BR51" s="14">
        <v>105</v>
      </c>
      <c r="BS51" s="18">
        <v>47</v>
      </c>
      <c r="BT51" s="12">
        <f t="shared" si="0"/>
        <v>518175</v>
      </c>
    </row>
    <row r="52" spans="3:72" ht="30" customHeight="1" x14ac:dyDescent="0.25">
      <c r="C52" s="34"/>
      <c r="D52" s="27"/>
      <c r="E52" s="27"/>
      <c r="F52" s="36"/>
      <c r="H52" s="34"/>
      <c r="I52" s="35"/>
      <c r="J52" s="35"/>
      <c r="K52" s="28"/>
      <c r="M52" s="26"/>
      <c r="N52" s="35"/>
      <c r="O52" s="35"/>
      <c r="P52" s="28"/>
      <c r="R52" s="34"/>
      <c r="S52" s="35"/>
      <c r="T52" s="35"/>
      <c r="U52" s="28"/>
      <c r="Y52" s="20" t="s">
        <v>105</v>
      </c>
      <c r="Z52" s="68">
        <v>1</v>
      </c>
      <c r="AA52" s="68">
        <v>0</v>
      </c>
      <c r="AB52" s="68">
        <v>0</v>
      </c>
      <c r="AC52" s="68">
        <v>1</v>
      </c>
      <c r="AD52" s="68">
        <v>1</v>
      </c>
      <c r="AE52" s="68">
        <v>0</v>
      </c>
      <c r="AF52" s="68">
        <v>0</v>
      </c>
      <c r="AG52" s="68">
        <v>1</v>
      </c>
      <c r="AH52" s="68">
        <v>1</v>
      </c>
      <c r="AI52" s="68">
        <v>0</v>
      </c>
      <c r="AJ52" s="68">
        <v>0</v>
      </c>
      <c r="AK52" s="68">
        <v>1</v>
      </c>
      <c r="AL52" s="68">
        <v>1</v>
      </c>
      <c r="AM52" s="68">
        <v>0</v>
      </c>
      <c r="AN52" s="68">
        <v>0</v>
      </c>
      <c r="AO52" s="68">
        <v>1</v>
      </c>
      <c r="AP52" s="68">
        <v>1</v>
      </c>
      <c r="AQ52" s="68">
        <v>0</v>
      </c>
      <c r="AR52" s="68">
        <v>0</v>
      </c>
      <c r="AS52" s="68">
        <v>1</v>
      </c>
      <c r="AT52" s="68">
        <v>1</v>
      </c>
      <c r="AU52" s="68">
        <v>0</v>
      </c>
      <c r="AV52" s="68">
        <v>0</v>
      </c>
      <c r="AW52" s="68">
        <v>1</v>
      </c>
      <c r="AX52" s="68">
        <v>1</v>
      </c>
      <c r="AY52" s="68">
        <v>1</v>
      </c>
      <c r="AZ52" s="68">
        <v>1</v>
      </c>
      <c r="BA52" s="68">
        <v>1</v>
      </c>
      <c r="BB52" s="68">
        <v>1</v>
      </c>
      <c r="BC52" s="68">
        <v>0</v>
      </c>
      <c r="BD52" s="68">
        <v>0</v>
      </c>
      <c r="BE52" s="73">
        <v>1</v>
      </c>
      <c r="BG52" s="71" t="s">
        <v>105</v>
      </c>
      <c r="BH52" s="70" t="s">
        <v>131</v>
      </c>
      <c r="BI52" s="69"/>
      <c r="BR52" s="14">
        <v>112</v>
      </c>
      <c r="BS52" s="18">
        <v>48</v>
      </c>
      <c r="BT52" s="12">
        <f t="shared" si="0"/>
        <v>602112</v>
      </c>
    </row>
    <row r="53" spans="3:72" ht="30" customHeight="1" x14ac:dyDescent="0.25">
      <c r="C53" s="37"/>
      <c r="D53" s="38"/>
      <c r="E53" s="38"/>
      <c r="F53" s="39"/>
      <c r="H53" s="37"/>
      <c r="I53" s="5"/>
      <c r="J53" s="5"/>
      <c r="K53" s="39"/>
      <c r="M53" s="37"/>
      <c r="N53" s="5"/>
      <c r="O53" s="5"/>
      <c r="P53" s="39"/>
      <c r="R53" s="37"/>
      <c r="S53" s="5"/>
      <c r="T53" s="5"/>
      <c r="U53" s="39"/>
      <c r="Y53" s="20" t="s">
        <v>106</v>
      </c>
      <c r="Z53" s="68">
        <v>1</v>
      </c>
      <c r="AA53" s="68">
        <v>0</v>
      </c>
      <c r="AB53" s="68">
        <v>0</v>
      </c>
      <c r="AC53" s="68">
        <v>1</v>
      </c>
      <c r="AD53" s="68">
        <v>1</v>
      </c>
      <c r="AE53" s="68">
        <v>0</v>
      </c>
      <c r="AF53" s="68">
        <v>0</v>
      </c>
      <c r="AG53" s="68">
        <v>1</v>
      </c>
      <c r="AH53" s="68">
        <v>1</v>
      </c>
      <c r="AI53" s="68">
        <v>0</v>
      </c>
      <c r="AJ53" s="68">
        <v>0</v>
      </c>
      <c r="AK53" s="68">
        <v>1</v>
      </c>
      <c r="AL53" s="68">
        <v>0</v>
      </c>
      <c r="AM53" s="68">
        <v>1</v>
      </c>
      <c r="AN53" s="68">
        <v>1</v>
      </c>
      <c r="AO53" s="68">
        <v>0</v>
      </c>
      <c r="AP53" s="68">
        <v>1</v>
      </c>
      <c r="AQ53" s="68">
        <v>0</v>
      </c>
      <c r="AR53" s="68">
        <v>0</v>
      </c>
      <c r="AS53" s="68">
        <v>1</v>
      </c>
      <c r="AT53" s="68">
        <v>1</v>
      </c>
      <c r="AU53" s="68">
        <v>0</v>
      </c>
      <c r="AV53" s="68">
        <v>0</v>
      </c>
      <c r="AW53" s="68">
        <v>1</v>
      </c>
      <c r="AX53" s="68">
        <v>1</v>
      </c>
      <c r="AY53" s="68">
        <v>0</v>
      </c>
      <c r="AZ53" s="68">
        <v>0</v>
      </c>
      <c r="BA53" s="68">
        <v>1</v>
      </c>
      <c r="BB53" s="68">
        <v>1</v>
      </c>
      <c r="BC53" s="68">
        <v>0</v>
      </c>
      <c r="BD53" s="68">
        <v>0</v>
      </c>
      <c r="BE53" s="73">
        <v>1</v>
      </c>
      <c r="BG53" s="71" t="s">
        <v>106</v>
      </c>
      <c r="BH53" s="70" t="s">
        <v>132</v>
      </c>
      <c r="BI53" s="69"/>
      <c r="BR53" s="14">
        <v>26</v>
      </c>
      <c r="BS53" s="18">
        <v>49</v>
      </c>
      <c r="BT53" s="12">
        <f t="shared" si="0"/>
        <v>33124</v>
      </c>
    </row>
    <row r="54" spans="3:72" ht="30" customHeight="1" x14ac:dyDescent="0.25">
      <c r="C54" s="37"/>
      <c r="D54" s="5"/>
      <c r="E54" s="5"/>
      <c r="F54" s="39"/>
      <c r="H54" s="37"/>
      <c r="I54" s="5"/>
      <c r="J54" s="5"/>
      <c r="K54" s="39"/>
      <c r="M54" s="37"/>
      <c r="N54" s="5"/>
      <c r="O54" s="5"/>
      <c r="P54" s="39"/>
      <c r="R54" s="37"/>
      <c r="S54" s="5"/>
      <c r="T54" s="5"/>
      <c r="U54" s="39"/>
      <c r="Y54" s="20" t="s">
        <v>107</v>
      </c>
      <c r="Z54" s="68">
        <v>1</v>
      </c>
      <c r="AA54" s="68">
        <v>0</v>
      </c>
      <c r="AB54" s="68">
        <v>1</v>
      </c>
      <c r="AC54" s="68">
        <v>0</v>
      </c>
      <c r="AD54" s="68">
        <v>1</v>
      </c>
      <c r="AE54" s="68">
        <v>0</v>
      </c>
      <c r="AF54" s="68">
        <v>1</v>
      </c>
      <c r="AG54" s="68">
        <v>0</v>
      </c>
      <c r="AH54" s="68">
        <v>1</v>
      </c>
      <c r="AI54" s="68">
        <v>0</v>
      </c>
      <c r="AJ54" s="68">
        <v>1</v>
      </c>
      <c r="AK54" s="68">
        <v>0</v>
      </c>
      <c r="AL54" s="68">
        <v>0</v>
      </c>
      <c r="AM54" s="68">
        <v>1</v>
      </c>
      <c r="AN54" s="68">
        <v>0</v>
      </c>
      <c r="AO54" s="68">
        <v>0</v>
      </c>
      <c r="AP54" s="68">
        <v>0</v>
      </c>
      <c r="AQ54" s="68">
        <v>1</v>
      </c>
      <c r="AR54" s="68">
        <v>0</v>
      </c>
      <c r="AS54" s="68">
        <v>0</v>
      </c>
      <c r="AT54" s="68">
        <v>0</v>
      </c>
      <c r="AU54" s="68">
        <v>1</v>
      </c>
      <c r="AV54" s="68">
        <v>0</v>
      </c>
      <c r="AW54" s="68">
        <v>0</v>
      </c>
      <c r="AX54" s="68">
        <v>0</v>
      </c>
      <c r="AY54" s="68">
        <v>1</v>
      </c>
      <c r="AZ54" s="68">
        <v>0</v>
      </c>
      <c r="BA54" s="68">
        <v>0</v>
      </c>
      <c r="BB54" s="68">
        <v>0</v>
      </c>
      <c r="BC54" s="68">
        <v>1</v>
      </c>
      <c r="BD54" s="68">
        <v>0</v>
      </c>
      <c r="BE54" s="73">
        <v>0</v>
      </c>
      <c r="BG54" s="71" t="s">
        <v>107</v>
      </c>
      <c r="BH54" s="70" t="s">
        <v>133</v>
      </c>
      <c r="BI54" s="69"/>
      <c r="BR54" s="14">
        <v>6</v>
      </c>
      <c r="BS54" s="18">
        <v>50</v>
      </c>
      <c r="BT54" s="12">
        <f t="shared" si="0"/>
        <v>1800</v>
      </c>
    </row>
    <row r="55" spans="3:72" ht="30" customHeight="1" x14ac:dyDescent="0.25">
      <c r="C55" s="37"/>
      <c r="D55" s="5"/>
      <c r="E55" s="5"/>
      <c r="F55" s="39"/>
      <c r="H55" s="37"/>
      <c r="I55" s="5"/>
      <c r="J55" s="5"/>
      <c r="K55" s="39"/>
      <c r="M55" s="37"/>
      <c r="N55" s="5"/>
      <c r="O55" s="5"/>
      <c r="P55" s="39"/>
      <c r="R55" s="37"/>
      <c r="S55" s="38"/>
      <c r="T55" s="38"/>
      <c r="U55" s="30"/>
      <c r="Y55" s="20" t="s">
        <v>108</v>
      </c>
      <c r="Z55" s="68">
        <v>1</v>
      </c>
      <c r="AA55" s="68">
        <v>1</v>
      </c>
      <c r="AB55" s="68">
        <v>1</v>
      </c>
      <c r="AC55" s="68">
        <v>1</v>
      </c>
      <c r="AD55" s="68">
        <v>0</v>
      </c>
      <c r="AE55" s="68">
        <v>0</v>
      </c>
      <c r="AF55" s="68">
        <v>0</v>
      </c>
      <c r="AG55" s="68">
        <v>1</v>
      </c>
      <c r="AH55" s="68">
        <v>0</v>
      </c>
      <c r="AI55" s="68">
        <v>0</v>
      </c>
      <c r="AJ55" s="68">
        <v>1</v>
      </c>
      <c r="AK55" s="68">
        <v>0</v>
      </c>
      <c r="AL55" s="68">
        <v>0</v>
      </c>
      <c r="AM55" s="68">
        <v>1</v>
      </c>
      <c r="AN55" s="68">
        <v>1</v>
      </c>
      <c r="AO55" s="68">
        <v>0</v>
      </c>
      <c r="AP55" s="68">
        <v>0</v>
      </c>
      <c r="AQ55" s="68">
        <v>1</v>
      </c>
      <c r="AR55" s="68">
        <v>1</v>
      </c>
      <c r="AS55" s="68">
        <v>0</v>
      </c>
      <c r="AT55" s="68">
        <v>0</v>
      </c>
      <c r="AU55" s="68">
        <v>1</v>
      </c>
      <c r="AV55" s="68">
        <v>0</v>
      </c>
      <c r="AW55" s="68">
        <v>0</v>
      </c>
      <c r="AX55" s="68">
        <v>1</v>
      </c>
      <c r="AY55" s="68">
        <v>0</v>
      </c>
      <c r="AZ55" s="68">
        <v>0</v>
      </c>
      <c r="BA55" s="68">
        <v>0</v>
      </c>
      <c r="BB55" s="68">
        <v>1</v>
      </c>
      <c r="BC55" s="68">
        <v>1</v>
      </c>
      <c r="BD55" s="68">
        <v>1</v>
      </c>
      <c r="BE55" s="73">
        <v>1</v>
      </c>
      <c r="BG55" s="71" t="s">
        <v>108</v>
      </c>
      <c r="BH55" s="70" t="s">
        <v>134</v>
      </c>
      <c r="BI55" s="69"/>
      <c r="BR55" s="14">
        <v>8</v>
      </c>
      <c r="BS55" s="18">
        <v>51</v>
      </c>
      <c r="BT55" s="12">
        <f t="shared" si="0"/>
        <v>3264</v>
      </c>
    </row>
    <row r="56" spans="3:72" ht="30" customHeight="1" x14ac:dyDescent="0.25">
      <c r="C56" s="37"/>
      <c r="D56" s="5"/>
      <c r="E56" s="5"/>
      <c r="F56" s="39"/>
      <c r="H56" s="37"/>
      <c r="I56" s="5"/>
      <c r="J56" s="5"/>
      <c r="K56" s="39"/>
      <c r="M56" s="37"/>
      <c r="N56" s="5"/>
      <c r="O56" s="5"/>
      <c r="P56" s="39"/>
      <c r="R56" s="37"/>
      <c r="S56" s="5"/>
      <c r="T56" s="5"/>
      <c r="U56" s="30"/>
      <c r="Y56" s="20">
        <v>0</v>
      </c>
      <c r="Z56" s="68">
        <v>1</v>
      </c>
      <c r="AA56" s="68">
        <v>1</v>
      </c>
      <c r="AB56" s="68">
        <v>1</v>
      </c>
      <c r="AC56" s="68">
        <v>1</v>
      </c>
      <c r="AD56" s="68">
        <v>1</v>
      </c>
      <c r="AE56" s="68">
        <v>0</v>
      </c>
      <c r="AF56" s="68">
        <v>0</v>
      </c>
      <c r="AG56" s="68">
        <v>1</v>
      </c>
      <c r="AH56" s="68">
        <v>1</v>
      </c>
      <c r="AI56" s="68">
        <v>0</v>
      </c>
      <c r="AJ56" s="68">
        <v>0</v>
      </c>
      <c r="AK56" s="68">
        <v>1</v>
      </c>
      <c r="AL56" s="68">
        <v>1</v>
      </c>
      <c r="AM56" s="68">
        <v>0</v>
      </c>
      <c r="AN56" s="68">
        <v>0</v>
      </c>
      <c r="AO56" s="68">
        <v>1</v>
      </c>
      <c r="AP56" s="68">
        <v>1</v>
      </c>
      <c r="AQ56" s="68">
        <v>0</v>
      </c>
      <c r="AR56" s="68">
        <v>0</v>
      </c>
      <c r="AS56" s="68">
        <v>1</v>
      </c>
      <c r="AT56" s="68">
        <v>1</v>
      </c>
      <c r="AU56" s="68">
        <v>0</v>
      </c>
      <c r="AV56" s="68">
        <v>0</v>
      </c>
      <c r="AW56" s="68">
        <v>1</v>
      </c>
      <c r="AX56" s="68">
        <v>1</v>
      </c>
      <c r="AY56" s="68">
        <v>0</v>
      </c>
      <c r="AZ56" s="68">
        <v>0</v>
      </c>
      <c r="BA56" s="68">
        <v>1</v>
      </c>
      <c r="BB56" s="68">
        <v>1</v>
      </c>
      <c r="BC56" s="68">
        <v>1</v>
      </c>
      <c r="BD56" s="68">
        <v>1</v>
      </c>
      <c r="BE56" s="73">
        <v>1</v>
      </c>
      <c r="BG56" s="71">
        <v>0</v>
      </c>
      <c r="BH56" s="70" t="s">
        <v>135</v>
      </c>
      <c r="BI56" s="69"/>
      <c r="BR56" s="14">
        <v>20</v>
      </c>
      <c r="BS56" s="18">
        <v>52</v>
      </c>
      <c r="BT56" s="12">
        <f t="shared" si="0"/>
        <v>20800</v>
      </c>
    </row>
    <row r="57" spans="3:72" ht="30" customHeight="1" x14ac:dyDescent="0.25">
      <c r="C57" s="37"/>
      <c r="D57" s="5"/>
      <c r="E57" s="5"/>
      <c r="F57" s="39"/>
      <c r="H57" s="37"/>
      <c r="I57" s="5"/>
      <c r="J57" s="5"/>
      <c r="K57" s="39"/>
      <c r="M57" s="37"/>
      <c r="N57" s="5"/>
      <c r="O57" s="5"/>
      <c r="P57" s="39"/>
      <c r="R57" s="37"/>
      <c r="S57" s="5"/>
      <c r="T57" s="5"/>
      <c r="U57" s="30"/>
      <c r="Y57" s="20">
        <v>1</v>
      </c>
      <c r="Z57" s="68">
        <v>0</v>
      </c>
      <c r="AA57" s="68">
        <v>0</v>
      </c>
      <c r="AB57" s="68">
        <v>0</v>
      </c>
      <c r="AC57" s="68">
        <v>1</v>
      </c>
      <c r="AD57" s="68">
        <v>0</v>
      </c>
      <c r="AE57" s="68">
        <v>0</v>
      </c>
      <c r="AF57" s="68">
        <v>0</v>
      </c>
      <c r="AG57" s="68">
        <v>1</v>
      </c>
      <c r="AH57" s="68">
        <v>0</v>
      </c>
      <c r="AI57" s="68">
        <v>0</v>
      </c>
      <c r="AJ57" s="68">
        <v>0</v>
      </c>
      <c r="AK57" s="68">
        <v>1</v>
      </c>
      <c r="AL57" s="68">
        <v>0</v>
      </c>
      <c r="AM57" s="68">
        <v>0</v>
      </c>
      <c r="AN57" s="68">
        <v>0</v>
      </c>
      <c r="AO57" s="68">
        <v>1</v>
      </c>
      <c r="AP57" s="68">
        <v>0</v>
      </c>
      <c r="AQ57" s="68">
        <v>0</v>
      </c>
      <c r="AR57" s="68">
        <v>0</v>
      </c>
      <c r="AS57" s="68">
        <v>1</v>
      </c>
      <c r="AT57" s="68">
        <v>0</v>
      </c>
      <c r="AU57" s="68">
        <v>0</v>
      </c>
      <c r="AV57" s="68">
        <v>0</v>
      </c>
      <c r="AW57" s="68">
        <v>1</v>
      </c>
      <c r="AX57" s="68">
        <v>0</v>
      </c>
      <c r="AY57" s="68">
        <v>0</v>
      </c>
      <c r="AZ57" s="68">
        <v>0</v>
      </c>
      <c r="BA57" s="68">
        <v>1</v>
      </c>
      <c r="BB57" s="68">
        <v>0</v>
      </c>
      <c r="BC57" s="68">
        <v>0</v>
      </c>
      <c r="BD57" s="68">
        <v>0</v>
      </c>
      <c r="BE57" s="73">
        <v>1</v>
      </c>
      <c r="BG57" s="71">
        <v>1</v>
      </c>
      <c r="BH57" s="70" t="s">
        <v>136</v>
      </c>
      <c r="BI57" s="69"/>
      <c r="BR57" s="14">
        <v>12</v>
      </c>
      <c r="BS57" s="18">
        <v>53</v>
      </c>
      <c r="BT57" s="12">
        <f t="shared" si="0"/>
        <v>7632</v>
      </c>
    </row>
    <row r="58" spans="3:72" ht="30" customHeight="1" x14ac:dyDescent="0.25">
      <c r="C58" s="37"/>
      <c r="D58" s="5"/>
      <c r="E58" s="5"/>
      <c r="F58" s="39"/>
      <c r="H58" s="37"/>
      <c r="I58" s="5"/>
      <c r="J58" s="5"/>
      <c r="K58" s="39"/>
      <c r="M58" s="37"/>
      <c r="N58" s="5"/>
      <c r="O58" s="5"/>
      <c r="P58" s="39"/>
      <c r="R58" s="37"/>
      <c r="S58" s="5"/>
      <c r="T58" s="5"/>
      <c r="U58" s="30"/>
      <c r="Y58" s="20">
        <v>2</v>
      </c>
      <c r="Z58" s="68">
        <v>1</v>
      </c>
      <c r="AA58" s="68">
        <v>1</v>
      </c>
      <c r="AB58" s="68">
        <v>1</v>
      </c>
      <c r="AC58" s="68">
        <v>1</v>
      </c>
      <c r="AD58" s="68">
        <v>0</v>
      </c>
      <c r="AE58" s="68">
        <v>0</v>
      </c>
      <c r="AF58" s="68">
        <v>0</v>
      </c>
      <c r="AG58" s="68">
        <v>1</v>
      </c>
      <c r="AH58" s="68">
        <v>0</v>
      </c>
      <c r="AI58" s="68">
        <v>0</v>
      </c>
      <c r="AJ58" s="68">
        <v>0</v>
      </c>
      <c r="AK58" s="68">
        <v>1</v>
      </c>
      <c r="AL58" s="68">
        <v>1</v>
      </c>
      <c r="AM58" s="68">
        <v>1</v>
      </c>
      <c r="AN58" s="68">
        <v>1</v>
      </c>
      <c r="AO58" s="68">
        <v>1</v>
      </c>
      <c r="AP58" s="68">
        <v>1</v>
      </c>
      <c r="AQ58" s="68">
        <v>0</v>
      </c>
      <c r="AR58" s="68">
        <v>0</v>
      </c>
      <c r="AS58" s="68">
        <v>0</v>
      </c>
      <c r="AT58" s="68">
        <v>1</v>
      </c>
      <c r="AU58" s="68">
        <v>0</v>
      </c>
      <c r="AV58" s="68">
        <v>0</v>
      </c>
      <c r="AW58" s="68">
        <v>0</v>
      </c>
      <c r="AX58" s="68">
        <v>1</v>
      </c>
      <c r="AY58" s="68">
        <v>0</v>
      </c>
      <c r="AZ58" s="68">
        <v>0</v>
      </c>
      <c r="BA58" s="68">
        <v>0</v>
      </c>
      <c r="BB58" s="68">
        <v>1</v>
      </c>
      <c r="BC58" s="68">
        <v>1</v>
      </c>
      <c r="BD58" s="68">
        <v>1</v>
      </c>
      <c r="BE58" s="73">
        <v>1</v>
      </c>
      <c r="BG58" s="71">
        <v>2</v>
      </c>
      <c r="BH58" s="70" t="s">
        <v>137</v>
      </c>
      <c r="BI58" s="69"/>
      <c r="BR58" s="14">
        <v>22</v>
      </c>
      <c r="BS58" s="18">
        <v>54</v>
      </c>
      <c r="BT58" s="12">
        <f t="shared" si="0"/>
        <v>26136</v>
      </c>
    </row>
    <row r="59" spans="3:72" ht="30" customHeight="1" x14ac:dyDescent="0.25">
      <c r="C59" s="40"/>
      <c r="D59" s="32"/>
      <c r="E59" s="32"/>
      <c r="F59" s="42"/>
      <c r="H59" s="40"/>
      <c r="I59" s="32"/>
      <c r="J59" s="32"/>
      <c r="K59" s="42"/>
      <c r="M59" s="31"/>
      <c r="N59" s="41"/>
      <c r="O59" s="41"/>
      <c r="P59" s="33"/>
      <c r="R59" s="40"/>
      <c r="S59" s="32"/>
      <c r="T59" s="32"/>
      <c r="U59" s="33"/>
      <c r="Y59" s="20">
        <v>3</v>
      </c>
      <c r="Z59" s="68">
        <v>1</v>
      </c>
      <c r="AA59" s="68">
        <v>1</v>
      </c>
      <c r="AB59" s="68">
        <v>1</v>
      </c>
      <c r="AC59" s="68">
        <v>1</v>
      </c>
      <c r="AD59" s="68">
        <v>0</v>
      </c>
      <c r="AE59" s="68">
        <v>0</v>
      </c>
      <c r="AF59" s="68">
        <v>0</v>
      </c>
      <c r="AG59" s="68">
        <v>1</v>
      </c>
      <c r="AH59" s="68">
        <v>0</v>
      </c>
      <c r="AI59" s="68">
        <v>0</v>
      </c>
      <c r="AJ59" s="68">
        <v>0</v>
      </c>
      <c r="AK59" s="68">
        <v>1</v>
      </c>
      <c r="AL59" s="68">
        <v>1</v>
      </c>
      <c r="AM59" s="68">
        <v>1</v>
      </c>
      <c r="AN59" s="68">
        <v>1</v>
      </c>
      <c r="AO59" s="68">
        <v>1</v>
      </c>
      <c r="AP59" s="68">
        <v>0</v>
      </c>
      <c r="AQ59" s="68">
        <v>0</v>
      </c>
      <c r="AR59" s="68">
        <v>0</v>
      </c>
      <c r="AS59" s="68">
        <v>1</v>
      </c>
      <c r="AT59" s="68">
        <v>0</v>
      </c>
      <c r="AU59" s="68">
        <v>0</v>
      </c>
      <c r="AV59" s="68">
        <v>0</v>
      </c>
      <c r="AW59" s="68">
        <v>1</v>
      </c>
      <c r="AX59" s="68">
        <v>0</v>
      </c>
      <c r="AY59" s="68">
        <v>0</v>
      </c>
      <c r="AZ59" s="68">
        <v>0</v>
      </c>
      <c r="BA59" s="68">
        <v>1</v>
      </c>
      <c r="BB59" s="68">
        <v>1</v>
      </c>
      <c r="BC59" s="68">
        <v>1</v>
      </c>
      <c r="BD59" s="68">
        <v>1</v>
      </c>
      <c r="BE59" s="73">
        <v>1</v>
      </c>
      <c r="BG59" s="71">
        <v>3</v>
      </c>
      <c r="BH59" s="70" t="s">
        <v>138</v>
      </c>
      <c r="BI59" s="69"/>
      <c r="BR59" s="14">
        <v>30</v>
      </c>
      <c r="BS59" s="18">
        <v>55</v>
      </c>
      <c r="BT59" s="12">
        <f t="shared" si="0"/>
        <v>49500</v>
      </c>
    </row>
    <row r="60" spans="3:72" ht="30" customHeight="1" x14ac:dyDescent="0.25">
      <c r="Y60" s="20">
        <v>4</v>
      </c>
      <c r="Z60" s="68">
        <v>1</v>
      </c>
      <c r="AA60" s="68">
        <v>0</v>
      </c>
      <c r="AB60" s="68">
        <v>0</v>
      </c>
      <c r="AC60" s="68">
        <v>1</v>
      </c>
      <c r="AD60" s="68">
        <v>1</v>
      </c>
      <c r="AE60" s="68">
        <v>0</v>
      </c>
      <c r="AF60" s="68">
        <v>0</v>
      </c>
      <c r="AG60" s="68">
        <v>1</v>
      </c>
      <c r="AH60" s="68">
        <v>1</v>
      </c>
      <c r="AI60" s="68">
        <v>0</v>
      </c>
      <c r="AJ60" s="68">
        <v>0</v>
      </c>
      <c r="AK60" s="68">
        <v>1</v>
      </c>
      <c r="AL60" s="68">
        <v>1</v>
      </c>
      <c r="AM60" s="68">
        <v>1</v>
      </c>
      <c r="AN60" s="68">
        <v>1</v>
      </c>
      <c r="AO60" s="68">
        <v>1</v>
      </c>
      <c r="AP60" s="68">
        <v>0</v>
      </c>
      <c r="AQ60" s="68">
        <v>0</v>
      </c>
      <c r="AR60" s="68">
        <v>0</v>
      </c>
      <c r="AS60" s="68">
        <v>1</v>
      </c>
      <c r="AT60" s="68">
        <v>0</v>
      </c>
      <c r="AU60" s="68">
        <v>0</v>
      </c>
      <c r="AV60" s="68">
        <v>0</v>
      </c>
      <c r="AW60" s="68">
        <v>1</v>
      </c>
      <c r="AX60" s="68">
        <v>0</v>
      </c>
      <c r="AY60" s="68">
        <v>0</v>
      </c>
      <c r="AZ60" s="68">
        <v>0</v>
      </c>
      <c r="BA60" s="68">
        <v>1</v>
      </c>
      <c r="BB60" s="68">
        <v>0</v>
      </c>
      <c r="BC60" s="68">
        <v>0</v>
      </c>
      <c r="BD60" s="68">
        <v>0</v>
      </c>
      <c r="BE60" s="73">
        <v>1</v>
      </c>
      <c r="BG60" s="71">
        <v>4</v>
      </c>
      <c r="BH60" s="70" t="s">
        <v>139</v>
      </c>
      <c r="BI60" s="69"/>
      <c r="BR60" s="14">
        <v>32</v>
      </c>
      <c r="BS60" s="18">
        <v>56</v>
      </c>
      <c r="BT60" s="12">
        <f t="shared" si="0"/>
        <v>57344</v>
      </c>
    </row>
    <row r="61" spans="3:72" ht="30" customHeight="1" x14ac:dyDescent="0.25">
      <c r="C61" s="26"/>
      <c r="D61" s="35"/>
      <c r="E61" s="27"/>
      <c r="F61" s="28"/>
      <c r="H61" s="34"/>
      <c r="I61" s="35"/>
      <c r="J61" s="35"/>
      <c r="K61" s="28"/>
      <c r="M61" s="26"/>
      <c r="N61" s="35"/>
      <c r="O61" s="35"/>
      <c r="P61" s="36"/>
      <c r="R61" s="34"/>
      <c r="S61" s="35"/>
      <c r="T61" s="35"/>
      <c r="U61" s="28"/>
      <c r="Y61" s="20">
        <v>5</v>
      </c>
      <c r="Z61" s="68">
        <v>1</v>
      </c>
      <c r="AA61" s="68">
        <v>1</v>
      </c>
      <c r="AB61" s="68">
        <v>1</v>
      </c>
      <c r="AC61" s="68">
        <v>1</v>
      </c>
      <c r="AD61" s="68">
        <v>1</v>
      </c>
      <c r="AE61" s="68">
        <v>0</v>
      </c>
      <c r="AF61" s="68">
        <v>0</v>
      </c>
      <c r="AG61" s="68">
        <v>0</v>
      </c>
      <c r="AH61" s="68">
        <v>1</v>
      </c>
      <c r="AI61" s="68">
        <v>0</v>
      </c>
      <c r="AJ61" s="68">
        <v>0</v>
      </c>
      <c r="AK61" s="68">
        <v>0</v>
      </c>
      <c r="AL61" s="68">
        <v>1</v>
      </c>
      <c r="AM61" s="68">
        <v>1</v>
      </c>
      <c r="AN61" s="68">
        <v>1</v>
      </c>
      <c r="AO61" s="68">
        <v>1</v>
      </c>
      <c r="AP61" s="68">
        <v>0</v>
      </c>
      <c r="AQ61" s="68">
        <v>0</v>
      </c>
      <c r="AR61" s="68">
        <v>0</v>
      </c>
      <c r="AS61" s="68">
        <v>1</v>
      </c>
      <c r="AT61" s="68">
        <v>0</v>
      </c>
      <c r="AU61" s="68">
        <v>0</v>
      </c>
      <c r="AV61" s="68">
        <v>0</v>
      </c>
      <c r="AW61" s="68">
        <v>1</v>
      </c>
      <c r="AX61" s="68">
        <v>0</v>
      </c>
      <c r="AY61" s="68">
        <v>0</v>
      </c>
      <c r="AZ61" s="68">
        <v>0</v>
      </c>
      <c r="BA61" s="68">
        <v>1</v>
      </c>
      <c r="BB61" s="68">
        <v>1</v>
      </c>
      <c r="BC61" s="68">
        <v>1</v>
      </c>
      <c r="BD61" s="68">
        <v>1</v>
      </c>
      <c r="BE61" s="73">
        <v>1</v>
      </c>
      <c r="BG61" s="71">
        <v>5</v>
      </c>
      <c r="BH61" s="70" t="s">
        <v>140</v>
      </c>
      <c r="BI61" s="69"/>
      <c r="BR61" s="14">
        <v>65</v>
      </c>
      <c r="BS61" s="18">
        <v>57</v>
      </c>
      <c r="BT61" s="12">
        <f t="shared" si="0"/>
        <v>240825</v>
      </c>
    </row>
    <row r="62" spans="3:72" ht="30" customHeight="1" x14ac:dyDescent="0.25">
      <c r="C62" s="37"/>
      <c r="D62" s="5"/>
      <c r="E62" s="38"/>
      <c r="F62" s="30"/>
      <c r="H62" s="37"/>
      <c r="I62" s="5"/>
      <c r="J62" s="5"/>
      <c r="K62" s="39"/>
      <c r="M62" s="37"/>
      <c r="N62" s="5"/>
      <c r="O62" s="5"/>
      <c r="P62" s="30"/>
      <c r="R62" s="29"/>
      <c r="S62" s="38"/>
      <c r="T62" s="5"/>
      <c r="U62" s="30"/>
      <c r="Y62" s="20">
        <v>6</v>
      </c>
      <c r="Z62" s="68">
        <v>1</v>
      </c>
      <c r="AA62" s="68">
        <v>1</v>
      </c>
      <c r="AB62" s="68">
        <v>1</v>
      </c>
      <c r="AC62" s="68">
        <v>1</v>
      </c>
      <c r="AD62" s="68">
        <v>1</v>
      </c>
      <c r="AE62" s="68">
        <v>0</v>
      </c>
      <c r="AF62" s="68">
        <v>0</v>
      </c>
      <c r="AG62" s="68">
        <v>0</v>
      </c>
      <c r="AH62" s="68">
        <v>1</v>
      </c>
      <c r="AI62" s="68">
        <v>0</v>
      </c>
      <c r="AJ62" s="68">
        <v>0</v>
      </c>
      <c r="AK62" s="68">
        <v>0</v>
      </c>
      <c r="AL62" s="68">
        <v>1</v>
      </c>
      <c r="AM62" s="68">
        <v>1</v>
      </c>
      <c r="AN62" s="68">
        <v>1</v>
      </c>
      <c r="AO62" s="68">
        <v>1</v>
      </c>
      <c r="AP62" s="68">
        <v>1</v>
      </c>
      <c r="AQ62" s="68">
        <v>0</v>
      </c>
      <c r="AR62" s="68">
        <v>0</v>
      </c>
      <c r="AS62" s="68">
        <v>1</v>
      </c>
      <c r="AT62" s="68">
        <v>1</v>
      </c>
      <c r="AU62" s="68">
        <v>0</v>
      </c>
      <c r="AV62" s="68">
        <v>0</v>
      </c>
      <c r="AW62" s="68">
        <v>1</v>
      </c>
      <c r="AX62" s="68">
        <v>1</v>
      </c>
      <c r="AY62" s="68">
        <v>0</v>
      </c>
      <c r="AZ62" s="68">
        <v>0</v>
      </c>
      <c r="BA62" s="68">
        <v>1</v>
      </c>
      <c r="BB62" s="68">
        <v>1</v>
      </c>
      <c r="BC62" s="68">
        <v>1</v>
      </c>
      <c r="BD62" s="68">
        <v>1</v>
      </c>
      <c r="BE62" s="73">
        <v>1</v>
      </c>
      <c r="BG62" s="71">
        <v>6</v>
      </c>
      <c r="BH62" s="70" t="s">
        <v>141</v>
      </c>
      <c r="BI62" s="69"/>
      <c r="BR62" s="14">
        <v>15</v>
      </c>
      <c r="BS62" s="18">
        <v>58</v>
      </c>
      <c r="BT62" s="12">
        <f t="shared" si="0"/>
        <v>13050</v>
      </c>
    </row>
    <row r="63" spans="3:72" ht="30" customHeight="1" x14ac:dyDescent="0.25">
      <c r="C63" s="37"/>
      <c r="D63" s="5"/>
      <c r="E63" s="38"/>
      <c r="F63" s="30"/>
      <c r="H63" s="37"/>
      <c r="I63" s="5"/>
      <c r="J63" s="5"/>
      <c r="K63" s="39"/>
      <c r="M63" s="37"/>
      <c r="N63" s="5"/>
      <c r="O63" s="5"/>
      <c r="P63" s="30"/>
      <c r="R63" s="29"/>
      <c r="S63" s="38"/>
      <c r="T63" s="5"/>
      <c r="U63" s="30"/>
      <c r="Y63" s="20">
        <v>7</v>
      </c>
      <c r="Z63" s="68">
        <v>1</v>
      </c>
      <c r="AA63" s="68">
        <v>1</v>
      </c>
      <c r="AB63" s="68">
        <v>1</v>
      </c>
      <c r="AC63" s="68">
        <v>1</v>
      </c>
      <c r="AD63" s="68">
        <v>0</v>
      </c>
      <c r="AE63" s="68">
        <v>0</v>
      </c>
      <c r="AF63" s="68">
        <v>0</v>
      </c>
      <c r="AG63" s="68">
        <v>1</v>
      </c>
      <c r="AH63" s="68">
        <v>0</v>
      </c>
      <c r="AI63" s="68">
        <v>0</v>
      </c>
      <c r="AJ63" s="68">
        <v>0</v>
      </c>
      <c r="AK63" s="68">
        <v>1</v>
      </c>
      <c r="AL63" s="68">
        <v>0</v>
      </c>
      <c r="AM63" s="68">
        <v>0</v>
      </c>
      <c r="AN63" s="68">
        <v>0</v>
      </c>
      <c r="AO63" s="68">
        <v>1</v>
      </c>
      <c r="AP63" s="68">
        <v>0</v>
      </c>
      <c r="AQ63" s="68">
        <v>0</v>
      </c>
      <c r="AR63" s="68">
        <v>0</v>
      </c>
      <c r="AS63" s="68">
        <v>1</v>
      </c>
      <c r="AT63" s="68">
        <v>0</v>
      </c>
      <c r="AU63" s="68">
        <v>0</v>
      </c>
      <c r="AV63" s="68">
        <v>0</v>
      </c>
      <c r="AW63" s="68">
        <v>1</v>
      </c>
      <c r="AX63" s="68">
        <v>0</v>
      </c>
      <c r="AY63" s="68">
        <v>0</v>
      </c>
      <c r="AZ63" s="68">
        <v>0</v>
      </c>
      <c r="BA63" s="68">
        <v>1</v>
      </c>
      <c r="BB63" s="68">
        <v>0</v>
      </c>
      <c r="BC63" s="68">
        <v>0</v>
      </c>
      <c r="BD63" s="68">
        <v>0</v>
      </c>
      <c r="BE63" s="73">
        <v>1</v>
      </c>
      <c r="BG63" s="71">
        <v>7</v>
      </c>
      <c r="BH63" s="70" t="s">
        <v>142</v>
      </c>
      <c r="BI63" s="69"/>
      <c r="BR63" s="14">
        <v>20</v>
      </c>
      <c r="BS63" s="18">
        <v>59</v>
      </c>
      <c r="BT63" s="12">
        <f t="shared" si="0"/>
        <v>23600</v>
      </c>
    </row>
    <row r="64" spans="3:72" ht="30" customHeight="1" x14ac:dyDescent="0.25">
      <c r="C64" s="37"/>
      <c r="D64" s="5"/>
      <c r="E64" s="38"/>
      <c r="F64" s="30"/>
      <c r="H64" s="37"/>
      <c r="I64" s="38"/>
      <c r="J64" s="38"/>
      <c r="K64" s="30"/>
      <c r="M64" s="29"/>
      <c r="N64" s="38"/>
      <c r="O64" s="38"/>
      <c r="P64" s="30"/>
      <c r="R64" s="29"/>
      <c r="S64" s="38"/>
      <c r="T64" s="5"/>
      <c r="U64" s="30"/>
      <c r="Y64" s="20">
        <v>8</v>
      </c>
      <c r="Z64" s="68">
        <v>1</v>
      </c>
      <c r="AA64" s="68">
        <v>1</v>
      </c>
      <c r="AB64" s="68">
        <v>1</v>
      </c>
      <c r="AC64" s="68">
        <v>1</v>
      </c>
      <c r="AD64" s="68">
        <v>1</v>
      </c>
      <c r="AE64" s="68">
        <v>0</v>
      </c>
      <c r="AF64" s="68">
        <v>0</v>
      </c>
      <c r="AG64" s="68">
        <v>1</v>
      </c>
      <c r="AH64" s="68">
        <v>1</v>
      </c>
      <c r="AI64" s="68">
        <v>0</v>
      </c>
      <c r="AJ64" s="68">
        <v>0</v>
      </c>
      <c r="AK64" s="68">
        <v>1</v>
      </c>
      <c r="AL64" s="68">
        <v>1</v>
      </c>
      <c r="AM64" s="68">
        <v>1</v>
      </c>
      <c r="AN64" s="68">
        <v>1</v>
      </c>
      <c r="AO64" s="68">
        <v>1</v>
      </c>
      <c r="AP64" s="68">
        <v>1</v>
      </c>
      <c r="AQ64" s="68">
        <v>0</v>
      </c>
      <c r="AR64" s="68">
        <v>0</v>
      </c>
      <c r="AS64" s="68">
        <v>1</v>
      </c>
      <c r="AT64" s="68">
        <v>1</v>
      </c>
      <c r="AU64" s="68">
        <v>0</v>
      </c>
      <c r="AV64" s="68">
        <v>0</v>
      </c>
      <c r="AW64" s="68">
        <v>1</v>
      </c>
      <c r="AX64" s="68">
        <v>1</v>
      </c>
      <c r="AY64" s="68">
        <v>0</v>
      </c>
      <c r="AZ64" s="68">
        <v>0</v>
      </c>
      <c r="BA64" s="68">
        <v>1</v>
      </c>
      <c r="BB64" s="68">
        <v>1</v>
      </c>
      <c r="BC64" s="68">
        <v>1</v>
      </c>
      <c r="BD64" s="68">
        <v>1</v>
      </c>
      <c r="BE64" s="73">
        <v>1</v>
      </c>
      <c r="BG64" s="71">
        <v>8</v>
      </c>
      <c r="BH64" s="70" t="s">
        <v>143</v>
      </c>
      <c r="BI64" s="69"/>
      <c r="BR64" s="14">
        <v>50</v>
      </c>
      <c r="BS64" s="18">
        <v>60</v>
      </c>
      <c r="BT64" s="12">
        <f t="shared" si="0"/>
        <v>150000</v>
      </c>
    </row>
    <row r="65" spans="3:72" ht="30" customHeight="1" x14ac:dyDescent="0.25">
      <c r="C65" s="37"/>
      <c r="D65" s="5"/>
      <c r="E65" s="38"/>
      <c r="F65" s="30"/>
      <c r="H65" s="37"/>
      <c r="I65" s="5"/>
      <c r="J65" s="5"/>
      <c r="K65" s="39"/>
      <c r="M65" s="29"/>
      <c r="N65" s="5"/>
      <c r="O65" s="5"/>
      <c r="P65" s="39"/>
      <c r="R65" s="29"/>
      <c r="S65" s="38"/>
      <c r="T65" s="5"/>
      <c r="U65" s="30"/>
      <c r="Y65" s="20">
        <v>9</v>
      </c>
      <c r="Z65" s="68">
        <v>1</v>
      </c>
      <c r="AA65" s="68">
        <v>1</v>
      </c>
      <c r="AB65" s="68">
        <v>1</v>
      </c>
      <c r="AC65" s="68">
        <v>1</v>
      </c>
      <c r="AD65" s="68">
        <v>1</v>
      </c>
      <c r="AE65" s="68">
        <v>0</v>
      </c>
      <c r="AF65" s="68">
        <v>0</v>
      </c>
      <c r="AG65" s="68">
        <v>1</v>
      </c>
      <c r="AH65" s="68">
        <v>1</v>
      </c>
      <c r="AI65" s="68">
        <v>0</v>
      </c>
      <c r="AJ65" s="68">
        <v>0</v>
      </c>
      <c r="AK65" s="68">
        <v>1</v>
      </c>
      <c r="AL65" s="68">
        <v>1</v>
      </c>
      <c r="AM65" s="68">
        <v>1</v>
      </c>
      <c r="AN65" s="68">
        <v>1</v>
      </c>
      <c r="AO65" s="68">
        <v>1</v>
      </c>
      <c r="AP65" s="68">
        <v>0</v>
      </c>
      <c r="AQ65" s="68">
        <v>0</v>
      </c>
      <c r="AR65" s="68">
        <v>0</v>
      </c>
      <c r="AS65" s="68">
        <v>1</v>
      </c>
      <c r="AT65" s="68">
        <v>0</v>
      </c>
      <c r="AU65" s="68">
        <v>0</v>
      </c>
      <c r="AV65" s="68">
        <v>0</v>
      </c>
      <c r="AW65" s="68">
        <v>1</v>
      </c>
      <c r="AX65" s="68">
        <v>0</v>
      </c>
      <c r="AY65" s="68">
        <v>0</v>
      </c>
      <c r="AZ65" s="68">
        <v>0</v>
      </c>
      <c r="BA65" s="68">
        <v>1</v>
      </c>
      <c r="BB65" s="68">
        <v>1</v>
      </c>
      <c r="BC65" s="68">
        <v>1</v>
      </c>
      <c r="BD65" s="68">
        <v>1</v>
      </c>
      <c r="BE65" s="73">
        <v>1</v>
      </c>
      <c r="BG65" s="71">
        <v>9</v>
      </c>
      <c r="BH65" s="70" t="s">
        <v>144</v>
      </c>
      <c r="BI65" s="69"/>
      <c r="BR65" s="14">
        <v>30</v>
      </c>
      <c r="BS65" s="18">
        <v>61</v>
      </c>
      <c r="BT65" s="12">
        <f t="shared" si="0"/>
        <v>54900</v>
      </c>
    </row>
    <row r="66" spans="3:72" ht="30" customHeight="1" x14ac:dyDescent="0.25">
      <c r="C66" s="37"/>
      <c r="D66" s="5"/>
      <c r="E66" s="38"/>
      <c r="F66" s="30"/>
      <c r="H66" s="37"/>
      <c r="I66" s="5"/>
      <c r="J66" s="5"/>
      <c r="K66" s="39"/>
      <c r="M66" s="29"/>
      <c r="N66" s="5"/>
      <c r="O66" s="5"/>
      <c r="P66" s="39"/>
      <c r="R66" s="29"/>
      <c r="S66" s="38"/>
      <c r="T66" s="5"/>
      <c r="U66" s="30"/>
      <c r="Z66" s="68"/>
      <c r="AA66" s="68"/>
      <c r="AB66" s="68"/>
      <c r="AC66" s="68"/>
      <c r="AD66" s="68"/>
      <c r="AE66" s="68"/>
      <c r="AF66" s="68"/>
      <c r="AG66" s="68"/>
      <c r="AH66" s="68"/>
      <c r="AI66" s="68"/>
      <c r="AJ66" s="68"/>
      <c r="AK66" s="68"/>
      <c r="AL66" s="68"/>
      <c r="AM66" s="68"/>
      <c r="AN66" s="68"/>
      <c r="AO66" s="68"/>
      <c r="AP66" s="68"/>
      <c r="AQ66" s="68"/>
      <c r="AR66" s="68"/>
      <c r="AS66" s="68"/>
      <c r="AT66" s="68"/>
      <c r="AU66" s="68"/>
      <c r="AV66" s="68"/>
      <c r="AW66" s="68"/>
      <c r="AX66" s="68"/>
      <c r="AY66" s="68"/>
      <c r="AZ66" s="68"/>
      <c r="BA66" s="68"/>
      <c r="BB66" s="68"/>
      <c r="BC66" s="68"/>
      <c r="BD66" s="68"/>
      <c r="BE66" s="68"/>
      <c r="BR66" s="14">
        <v>55</v>
      </c>
      <c r="BS66" s="18">
        <v>62</v>
      </c>
      <c r="BT66" s="12">
        <f t="shared" si="0"/>
        <v>187550</v>
      </c>
    </row>
    <row r="67" spans="3:72" ht="30" customHeight="1" x14ac:dyDescent="0.25">
      <c r="C67" s="37"/>
      <c r="D67" s="38"/>
      <c r="E67" s="5"/>
      <c r="F67" s="30"/>
      <c r="H67" s="37"/>
      <c r="I67" s="5"/>
      <c r="J67" s="5"/>
      <c r="K67" s="39"/>
      <c r="M67" s="29"/>
      <c r="N67" s="5"/>
      <c r="O67" s="5"/>
      <c r="P67" s="39"/>
      <c r="R67" s="29"/>
      <c r="S67" s="38"/>
      <c r="T67" s="5"/>
      <c r="U67" s="30"/>
      <c r="Z67" s="68"/>
      <c r="AA67" s="68"/>
      <c r="AB67" s="68"/>
      <c r="AC67" s="68"/>
      <c r="AD67" s="68"/>
      <c r="AE67" s="68"/>
      <c r="AF67" s="68"/>
      <c r="AG67" s="68"/>
      <c r="AH67" s="68"/>
      <c r="AI67" s="68"/>
      <c r="AJ67" s="68"/>
      <c r="AK67" s="68"/>
      <c r="AL67" s="68"/>
      <c r="AM67" s="68"/>
      <c r="AN67" s="68"/>
      <c r="AO67" s="68"/>
      <c r="AP67" s="68"/>
      <c r="AQ67" s="68"/>
      <c r="AR67" s="68"/>
      <c r="AS67" s="68"/>
      <c r="AT67" s="68"/>
      <c r="AU67" s="68"/>
      <c r="AV67" s="68"/>
      <c r="AW67" s="68"/>
      <c r="AX67" s="68"/>
      <c r="AY67" s="68"/>
      <c r="AZ67" s="68"/>
      <c r="BA67" s="68"/>
      <c r="BB67" s="68"/>
      <c r="BC67" s="68"/>
      <c r="BD67" s="68"/>
      <c r="BE67" s="68"/>
      <c r="BR67" s="14">
        <v>75</v>
      </c>
      <c r="BS67" s="18">
        <v>63</v>
      </c>
      <c r="BT67" s="12">
        <f t="shared" si="0"/>
        <v>354375</v>
      </c>
    </row>
    <row r="68" spans="3:72" ht="30" customHeight="1" x14ac:dyDescent="0.25">
      <c r="C68" s="31"/>
      <c r="D68" s="41"/>
      <c r="E68" s="41"/>
      <c r="F68" s="33"/>
      <c r="H68" s="40"/>
      <c r="I68" s="32"/>
      <c r="J68" s="32"/>
      <c r="K68" s="42"/>
      <c r="M68" s="40"/>
      <c r="N68" s="41"/>
      <c r="O68" s="41"/>
      <c r="P68" s="33"/>
      <c r="R68" s="31"/>
      <c r="S68" s="41"/>
      <c r="T68" s="32"/>
      <c r="U68" s="33"/>
      <c r="Z68" s="68"/>
      <c r="AA68" s="68"/>
      <c r="AB68" s="68"/>
      <c r="AC68" s="68"/>
      <c r="AD68" s="68"/>
      <c r="AE68" s="68"/>
      <c r="AF68" s="68"/>
      <c r="AG68" s="68"/>
      <c r="AH68" s="68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68"/>
      <c r="BA68" s="68"/>
      <c r="BB68" s="68"/>
      <c r="BC68" s="68"/>
      <c r="BD68" s="68"/>
      <c r="BE68" s="68"/>
      <c r="BR68" s="14">
        <v>80</v>
      </c>
      <c r="BS68" s="18">
        <v>64</v>
      </c>
      <c r="BT68" s="12">
        <f t="shared" si="0"/>
        <v>409600</v>
      </c>
    </row>
    <row r="69" spans="3:72" ht="30" customHeight="1" x14ac:dyDescent="0.25">
      <c r="Z69" s="68"/>
      <c r="AA69" s="68"/>
      <c r="AB69" s="68"/>
      <c r="AC69" s="68"/>
      <c r="AD69" s="68"/>
      <c r="AE69" s="68"/>
      <c r="AF69" s="68"/>
      <c r="AG69" s="68"/>
      <c r="AH69" s="68"/>
      <c r="AI69" s="68"/>
      <c r="AJ69" s="68"/>
      <c r="AK69" s="68"/>
      <c r="AL69" s="68"/>
      <c r="AM69" s="68"/>
      <c r="AN69" s="68"/>
      <c r="AO69" s="68"/>
      <c r="AP69" s="68"/>
      <c r="AQ69" s="68"/>
      <c r="AR69" s="68"/>
      <c r="AS69" s="68"/>
      <c r="AT69" s="68"/>
      <c r="AU69" s="68"/>
      <c r="AV69" s="68"/>
      <c r="AW69" s="68"/>
      <c r="AX69" s="68"/>
      <c r="AY69" s="68"/>
      <c r="AZ69" s="68"/>
      <c r="BA69" s="68"/>
      <c r="BB69" s="68"/>
      <c r="BC69" s="68"/>
      <c r="BD69" s="68"/>
      <c r="BE69" s="68"/>
      <c r="BT69" s="12" t="e">
        <f>_xlfn.MODE.SNGL(BT5:BT68)</f>
        <v>#N/A</v>
      </c>
    </row>
    <row r="70" spans="3:72" ht="30" customHeight="1" x14ac:dyDescent="0.25">
      <c r="C70" s="34"/>
      <c r="D70" s="27"/>
      <c r="E70" s="27"/>
      <c r="F70" s="36"/>
      <c r="H70" s="34"/>
      <c r="I70" s="27"/>
      <c r="J70" s="27"/>
      <c r="K70" s="36"/>
      <c r="M70" s="34"/>
      <c r="N70" s="27"/>
      <c r="O70" s="27"/>
      <c r="P70" s="36"/>
      <c r="R70" s="34"/>
      <c r="S70" s="27"/>
      <c r="T70" s="27"/>
      <c r="U70" s="36"/>
      <c r="Z70" s="68"/>
      <c r="AA70" s="68"/>
      <c r="AB70" s="68"/>
      <c r="AC70" s="68"/>
      <c r="AD70" s="68"/>
      <c r="AE70" s="68"/>
      <c r="AF70" s="68"/>
      <c r="AG70" s="68"/>
      <c r="AH70" s="68"/>
      <c r="AI70" s="68"/>
      <c r="AJ70" s="68"/>
      <c r="AK70" s="68"/>
      <c r="AL70" s="68"/>
      <c r="AM70" s="68"/>
      <c r="AN70" s="68"/>
      <c r="AO70" s="68"/>
      <c r="AP70" s="68"/>
      <c r="AQ70" s="68"/>
      <c r="AR70" s="68"/>
      <c r="AS70" s="68"/>
      <c r="AT70" s="68"/>
      <c r="AU70" s="68"/>
      <c r="AV70" s="68"/>
      <c r="AW70" s="68"/>
      <c r="AX70" s="68"/>
      <c r="AY70" s="68"/>
      <c r="AZ70" s="68"/>
      <c r="BA70" s="68"/>
      <c r="BB70" s="68"/>
      <c r="BC70" s="68"/>
      <c r="BD70" s="68"/>
      <c r="BE70" s="68"/>
    </row>
    <row r="71" spans="3:72" ht="30" customHeight="1" x14ac:dyDescent="0.25">
      <c r="C71" s="37"/>
      <c r="D71" s="5"/>
      <c r="E71" s="5"/>
      <c r="F71" s="39"/>
      <c r="H71" s="37"/>
      <c r="I71" s="5"/>
      <c r="J71" s="5"/>
      <c r="K71" s="39"/>
      <c r="M71" s="37"/>
      <c r="N71" s="5"/>
      <c r="O71" s="5"/>
      <c r="P71" s="39"/>
      <c r="R71" s="37"/>
      <c r="S71" s="5"/>
      <c r="T71" s="5"/>
      <c r="U71" s="39"/>
      <c r="Z71" s="68"/>
      <c r="AA71" s="68"/>
      <c r="AB71" s="68"/>
      <c r="AC71" s="68"/>
      <c r="AD71" s="68"/>
      <c r="AE71" s="68"/>
      <c r="AF71" s="68"/>
      <c r="AG71" s="68"/>
      <c r="AH71" s="68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68"/>
      <c r="BA71" s="68"/>
      <c r="BB71" s="68"/>
      <c r="BC71" s="68"/>
      <c r="BD71" s="68"/>
      <c r="BE71" s="68"/>
    </row>
    <row r="72" spans="3:72" ht="30" customHeight="1" x14ac:dyDescent="0.25">
      <c r="C72" s="37"/>
      <c r="D72" s="5"/>
      <c r="E72" s="5"/>
      <c r="F72" s="39"/>
      <c r="H72" s="37"/>
      <c r="I72" s="5"/>
      <c r="J72" s="5"/>
      <c r="K72" s="39"/>
      <c r="M72" s="37"/>
      <c r="N72" s="5"/>
      <c r="O72" s="5"/>
      <c r="P72" s="39"/>
      <c r="R72" s="37"/>
      <c r="S72" s="5"/>
      <c r="T72" s="5"/>
      <c r="U72" s="39"/>
      <c r="Z72" s="68"/>
      <c r="AA72" s="68"/>
      <c r="AB72" s="68"/>
      <c r="AC72" s="68"/>
      <c r="AD72" s="68"/>
      <c r="AE72" s="68"/>
      <c r="AF72" s="68"/>
      <c r="AG72" s="68"/>
      <c r="AH72" s="68"/>
      <c r="AI72" s="68"/>
      <c r="AJ72" s="68"/>
      <c r="AK72" s="68"/>
      <c r="AL72" s="68"/>
      <c r="AM72" s="68"/>
      <c r="AN72" s="68"/>
      <c r="AO72" s="68"/>
      <c r="AP72" s="68"/>
      <c r="AQ72" s="68"/>
      <c r="AR72" s="68"/>
      <c r="AS72" s="68"/>
      <c r="AT72" s="68"/>
      <c r="AU72" s="68"/>
      <c r="AV72" s="68"/>
      <c r="AW72" s="68"/>
      <c r="AX72" s="68"/>
      <c r="AY72" s="68"/>
      <c r="AZ72" s="68"/>
      <c r="BA72" s="68"/>
      <c r="BB72" s="68"/>
      <c r="BC72" s="68"/>
      <c r="BD72" s="68"/>
      <c r="BE72" s="68"/>
    </row>
    <row r="73" spans="3:72" ht="30" customHeight="1" x14ac:dyDescent="0.25">
      <c r="C73" s="37"/>
      <c r="D73" s="5"/>
      <c r="E73" s="5"/>
      <c r="F73" s="39"/>
      <c r="H73" s="37"/>
      <c r="I73" s="5"/>
      <c r="J73" s="5"/>
      <c r="K73" s="39"/>
      <c r="M73" s="37"/>
      <c r="N73" s="5"/>
      <c r="O73" s="5"/>
      <c r="P73" s="39"/>
      <c r="R73" s="29"/>
      <c r="S73" s="38"/>
      <c r="T73" s="38"/>
      <c r="U73" s="30"/>
      <c r="Z73" s="68"/>
      <c r="AA73" s="68"/>
      <c r="AB73" s="68"/>
      <c r="AC73" s="68"/>
      <c r="AD73" s="68"/>
      <c r="AE73" s="68"/>
      <c r="AF73" s="68"/>
      <c r="AG73" s="68"/>
      <c r="AH73" s="68"/>
      <c r="AI73" s="68"/>
      <c r="AJ73" s="68"/>
      <c r="AK73" s="68"/>
      <c r="AL73" s="68"/>
      <c r="AM73" s="68"/>
      <c r="AN73" s="68"/>
      <c r="AO73" s="68"/>
      <c r="AP73" s="68"/>
      <c r="AQ73" s="68"/>
      <c r="AR73" s="68"/>
      <c r="AS73" s="68"/>
      <c r="AT73" s="68"/>
      <c r="AU73" s="68"/>
      <c r="AV73" s="68"/>
      <c r="AW73" s="68"/>
      <c r="AX73" s="68"/>
      <c r="AY73" s="68"/>
      <c r="AZ73" s="68"/>
      <c r="BA73" s="68"/>
      <c r="BB73" s="68"/>
      <c r="BC73" s="68"/>
      <c r="BD73" s="68"/>
      <c r="BE73" s="68"/>
    </row>
    <row r="74" spans="3:72" ht="30" customHeight="1" x14ac:dyDescent="0.25">
      <c r="C74" s="37"/>
      <c r="D74" s="5"/>
      <c r="E74" s="5"/>
      <c r="F74" s="39"/>
      <c r="H74" s="37"/>
      <c r="I74" s="5"/>
      <c r="J74" s="5"/>
      <c r="K74" s="39"/>
      <c r="M74" s="37"/>
      <c r="N74" s="5"/>
      <c r="O74" s="5"/>
      <c r="P74" s="39"/>
      <c r="R74" s="37"/>
      <c r="S74" s="5"/>
      <c r="T74" s="5"/>
      <c r="U74" s="39"/>
      <c r="Z74" s="68"/>
      <c r="AA74" s="68"/>
      <c r="AB74" s="68"/>
      <c r="AC74" s="68"/>
      <c r="AD74" s="68"/>
      <c r="AE74" s="68"/>
      <c r="AF74" s="68"/>
      <c r="AG74" s="68"/>
      <c r="AH74" s="68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68"/>
      <c r="BA74" s="68"/>
      <c r="BB74" s="68"/>
      <c r="BC74" s="68"/>
      <c r="BD74" s="68"/>
      <c r="BE74" s="68"/>
    </row>
    <row r="75" spans="3:72" ht="30" customHeight="1" x14ac:dyDescent="0.25">
      <c r="C75" s="37"/>
      <c r="D75" s="5"/>
      <c r="E75" s="5"/>
      <c r="F75" s="39"/>
      <c r="H75" s="37"/>
      <c r="I75" s="5"/>
      <c r="J75" s="5"/>
      <c r="K75" s="39"/>
      <c r="M75" s="37"/>
      <c r="N75" s="5"/>
      <c r="O75" s="5"/>
      <c r="P75" s="39"/>
      <c r="R75" s="37"/>
      <c r="S75" s="5"/>
      <c r="T75" s="5"/>
      <c r="U75" s="39"/>
      <c r="Z75" s="68"/>
      <c r="AA75" s="68"/>
      <c r="AB75" s="68"/>
      <c r="AC75" s="68"/>
      <c r="AD75" s="68"/>
      <c r="AE75" s="68"/>
      <c r="AF75" s="68"/>
      <c r="AG75" s="68"/>
      <c r="AH75" s="68"/>
      <c r="AI75" s="68"/>
      <c r="AJ75" s="68"/>
      <c r="AK75" s="68"/>
      <c r="AL75" s="68"/>
      <c r="AM75" s="68"/>
      <c r="AN75" s="68"/>
      <c r="AO75" s="68"/>
      <c r="AP75" s="68"/>
      <c r="AQ75" s="68"/>
      <c r="AR75" s="68"/>
      <c r="AS75" s="68"/>
      <c r="AT75" s="68"/>
      <c r="AU75" s="68"/>
      <c r="AV75" s="68"/>
      <c r="AW75" s="68"/>
      <c r="AX75" s="68"/>
      <c r="AY75" s="68"/>
      <c r="AZ75" s="68"/>
      <c r="BA75" s="68"/>
      <c r="BB75" s="68"/>
      <c r="BC75" s="68"/>
      <c r="BD75" s="68"/>
      <c r="BE75" s="68"/>
    </row>
    <row r="76" spans="3:72" ht="30" customHeight="1" x14ac:dyDescent="0.25">
      <c r="C76" s="37"/>
      <c r="D76" s="5"/>
      <c r="E76" s="5"/>
      <c r="F76" s="39"/>
      <c r="H76" s="29"/>
      <c r="I76" s="38"/>
      <c r="J76" s="38"/>
      <c r="K76" s="30"/>
      <c r="M76" s="37"/>
      <c r="N76" s="38"/>
      <c r="O76" s="38"/>
      <c r="P76" s="39"/>
      <c r="R76" s="37"/>
      <c r="S76" s="5"/>
      <c r="T76" s="5"/>
      <c r="U76" s="39"/>
      <c r="Z76" s="68"/>
      <c r="AA76" s="68"/>
      <c r="AB76" s="68"/>
      <c r="AC76" s="68"/>
      <c r="AD76" s="68"/>
      <c r="AE76" s="68"/>
      <c r="AF76" s="68"/>
      <c r="AG76" s="68"/>
      <c r="AH76" s="68"/>
      <c r="AI76" s="68"/>
      <c r="AJ76" s="68"/>
      <c r="AK76" s="68"/>
      <c r="AL76" s="68"/>
      <c r="AM76" s="68"/>
      <c r="AN76" s="68"/>
      <c r="AO76" s="68"/>
      <c r="AP76" s="68"/>
      <c r="AQ76" s="68"/>
      <c r="AR76" s="68"/>
      <c r="AS76" s="68"/>
      <c r="AT76" s="68"/>
      <c r="AU76" s="68"/>
      <c r="AV76" s="68"/>
      <c r="AW76" s="68"/>
      <c r="AX76" s="68"/>
      <c r="AY76" s="68"/>
      <c r="AZ76" s="68"/>
      <c r="BA76" s="68"/>
      <c r="BB76" s="68"/>
      <c r="BC76" s="68"/>
      <c r="BD76" s="68"/>
      <c r="BE76" s="68"/>
    </row>
    <row r="77" spans="3:72" ht="30" customHeight="1" x14ac:dyDescent="0.25">
      <c r="C77" s="31"/>
      <c r="D77" s="41"/>
      <c r="E77" s="41"/>
      <c r="F77" s="42"/>
      <c r="H77" s="31"/>
      <c r="I77" s="41"/>
      <c r="J77" s="41"/>
      <c r="K77" s="33"/>
      <c r="M77" s="40"/>
      <c r="N77" s="32"/>
      <c r="O77" s="32"/>
      <c r="P77" s="42"/>
      <c r="R77" s="40"/>
      <c r="S77" s="32"/>
      <c r="T77" s="32"/>
      <c r="U77" s="42"/>
      <c r="Z77" s="68"/>
      <c r="AA77" s="68"/>
      <c r="AB77" s="68"/>
      <c r="AC77" s="68"/>
      <c r="AD77" s="68"/>
      <c r="AE77" s="68"/>
      <c r="AF77" s="68"/>
      <c r="AG77" s="68"/>
      <c r="AH77" s="68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68"/>
      <c r="BA77" s="68"/>
      <c r="BB77" s="68"/>
      <c r="BC77" s="68"/>
      <c r="BD77" s="68"/>
      <c r="BE77" s="68"/>
    </row>
    <row r="78" spans="3:72" ht="30" customHeight="1" x14ac:dyDescent="0.25">
      <c r="Z78" s="68"/>
      <c r="AA78" s="68"/>
      <c r="AB78" s="68"/>
      <c r="AC78" s="68"/>
      <c r="AD78" s="68"/>
      <c r="AE78" s="68"/>
      <c r="AF78" s="68"/>
      <c r="AG78" s="68"/>
      <c r="AH78" s="68"/>
      <c r="AI78" s="68"/>
      <c r="AJ78" s="68"/>
      <c r="AK78" s="68"/>
      <c r="AL78" s="68"/>
      <c r="AM78" s="68"/>
      <c r="AN78" s="68"/>
      <c r="AO78" s="68"/>
      <c r="AP78" s="68"/>
      <c r="AQ78" s="68"/>
      <c r="AR78" s="68"/>
      <c r="AS78" s="68"/>
      <c r="AT78" s="68"/>
      <c r="AU78" s="68"/>
      <c r="AV78" s="68"/>
      <c r="AW78" s="68"/>
      <c r="AX78" s="68"/>
      <c r="AY78" s="68"/>
      <c r="AZ78" s="68"/>
      <c r="BA78" s="68"/>
      <c r="BB78" s="68"/>
      <c r="BC78" s="68"/>
      <c r="BD78" s="68"/>
      <c r="BE78" s="68"/>
    </row>
    <row r="79" spans="3:72" ht="30" customHeight="1" x14ac:dyDescent="0.25">
      <c r="C79" s="34"/>
      <c r="D79" s="27"/>
      <c r="E79" s="35"/>
      <c r="F79" s="28"/>
      <c r="H79" s="34"/>
      <c r="I79" s="35"/>
      <c r="J79" s="35"/>
      <c r="K79" s="36"/>
      <c r="M79" s="34"/>
      <c r="N79" s="35"/>
      <c r="O79" s="35"/>
      <c r="P79" s="36"/>
      <c r="R79" s="26"/>
      <c r="S79" s="27"/>
      <c r="T79" s="27"/>
      <c r="U79" s="36"/>
      <c r="Z79" s="68"/>
      <c r="AA79" s="68"/>
      <c r="AB79" s="68"/>
      <c r="AC79" s="68"/>
      <c r="AD79" s="68"/>
      <c r="AE79" s="68"/>
      <c r="AF79" s="68"/>
      <c r="AG79" s="68"/>
      <c r="AH79" s="68"/>
      <c r="AI79" s="68"/>
      <c r="AJ79" s="68"/>
      <c r="AK79" s="68"/>
      <c r="AL79" s="68"/>
      <c r="AM79" s="68"/>
      <c r="AN79" s="68"/>
      <c r="AO79" s="68"/>
      <c r="AP79" s="68"/>
      <c r="AQ79" s="68"/>
      <c r="AR79" s="68"/>
      <c r="AS79" s="68"/>
      <c r="AT79" s="68"/>
      <c r="AU79" s="68"/>
      <c r="AV79" s="68"/>
      <c r="AW79" s="68"/>
      <c r="AX79" s="68"/>
      <c r="AY79" s="68"/>
      <c r="AZ79" s="68"/>
      <c r="BA79" s="68"/>
      <c r="BB79" s="68"/>
      <c r="BC79" s="68"/>
      <c r="BD79" s="68"/>
      <c r="BE79" s="68"/>
    </row>
    <row r="80" spans="3:72" ht="30" customHeight="1" x14ac:dyDescent="0.25">
      <c r="C80" s="37"/>
      <c r="D80" s="5"/>
      <c r="E80" s="38"/>
      <c r="F80" s="30"/>
      <c r="H80" s="29"/>
      <c r="I80" s="5"/>
      <c r="J80" s="5"/>
      <c r="K80" s="39"/>
      <c r="M80" s="37"/>
      <c r="N80" s="5"/>
      <c r="O80" s="5"/>
      <c r="P80" s="39"/>
      <c r="R80" s="29"/>
      <c r="S80" s="5"/>
      <c r="T80" s="5"/>
      <c r="U80" s="39"/>
      <c r="Z80" s="68"/>
      <c r="AA80" s="68"/>
      <c r="AB80" s="68"/>
      <c r="AC80" s="68"/>
      <c r="AD80" s="68"/>
      <c r="AE80" s="68"/>
      <c r="AF80" s="68"/>
      <c r="AG80" s="68"/>
      <c r="AH80" s="68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68"/>
      <c r="BA80" s="68"/>
      <c r="BB80" s="68"/>
      <c r="BC80" s="68"/>
      <c r="BD80" s="68"/>
      <c r="BE80" s="68"/>
    </row>
    <row r="81" spans="3:57" ht="30" customHeight="1" x14ac:dyDescent="0.25">
      <c r="C81" s="37"/>
      <c r="D81" s="5"/>
      <c r="E81" s="38"/>
      <c r="F81" s="30"/>
      <c r="H81" s="29"/>
      <c r="I81" s="52"/>
      <c r="J81" s="38"/>
      <c r="K81" s="30"/>
      <c r="M81" s="37"/>
      <c r="N81" s="5"/>
      <c r="O81" s="5"/>
      <c r="P81" s="39"/>
      <c r="R81" s="29"/>
      <c r="S81" s="5"/>
      <c r="T81" s="5"/>
      <c r="U81" s="39"/>
      <c r="Z81" s="68"/>
      <c r="AA81" s="68"/>
      <c r="AB81" s="68"/>
      <c r="AC81" s="68"/>
      <c r="AD81" s="68"/>
      <c r="AE81" s="68"/>
      <c r="AF81" s="68"/>
      <c r="AG81" s="68"/>
      <c r="AH81" s="68"/>
      <c r="AI81" s="68"/>
      <c r="AJ81" s="68"/>
      <c r="AK81" s="68"/>
      <c r="AL81" s="68"/>
      <c r="AM81" s="68"/>
      <c r="AN81" s="68"/>
      <c r="AO81" s="68"/>
      <c r="AP81" s="68"/>
      <c r="AQ81" s="68"/>
      <c r="AR81" s="68"/>
      <c r="AS81" s="68"/>
      <c r="AT81" s="68"/>
      <c r="AU81" s="68"/>
      <c r="AV81" s="68"/>
      <c r="AW81" s="68"/>
      <c r="AX81" s="68"/>
      <c r="AY81" s="68"/>
      <c r="AZ81" s="68"/>
      <c r="BA81" s="68"/>
      <c r="BB81" s="68"/>
      <c r="BC81" s="68"/>
      <c r="BD81" s="68"/>
      <c r="BE81" s="68"/>
    </row>
    <row r="82" spans="3:57" ht="30" customHeight="1" x14ac:dyDescent="0.25">
      <c r="C82" s="29"/>
      <c r="D82" s="38"/>
      <c r="E82" s="5"/>
      <c r="F82" s="30"/>
      <c r="H82" s="29"/>
      <c r="I82" s="38"/>
      <c r="J82" s="38"/>
      <c r="K82" s="30"/>
      <c r="M82" s="37"/>
      <c r="N82" s="5"/>
      <c r="O82" s="5"/>
      <c r="P82" s="39"/>
      <c r="R82" s="29"/>
      <c r="S82" s="5"/>
      <c r="T82" s="5"/>
      <c r="U82" s="39"/>
      <c r="Z82" s="68"/>
      <c r="AA82" s="68"/>
      <c r="AB82" s="68"/>
      <c r="AC82" s="68"/>
      <c r="AD82" s="68"/>
      <c r="AE82" s="68"/>
      <c r="AF82" s="68"/>
      <c r="AG82" s="68"/>
      <c r="AH82" s="68"/>
      <c r="AI82" s="68"/>
      <c r="AJ82" s="68"/>
      <c r="AK82" s="68"/>
      <c r="AL82" s="68"/>
      <c r="AM82" s="68"/>
      <c r="AN82" s="68"/>
      <c r="AO82" s="68"/>
      <c r="AP82" s="68"/>
      <c r="AQ82" s="68"/>
      <c r="AR82" s="68"/>
      <c r="AS82" s="68"/>
      <c r="AT82" s="68"/>
      <c r="AU82" s="68"/>
      <c r="AV82" s="68"/>
      <c r="AW82" s="68"/>
      <c r="AX82" s="68"/>
      <c r="AY82" s="68"/>
      <c r="AZ82" s="68"/>
      <c r="BA82" s="68"/>
      <c r="BB82" s="68"/>
      <c r="BC82" s="68"/>
      <c r="BD82" s="68"/>
      <c r="BE82" s="68"/>
    </row>
    <row r="83" spans="3:57" ht="30" customHeight="1" x14ac:dyDescent="0.25">
      <c r="C83" s="29"/>
      <c r="D83" s="38"/>
      <c r="E83" s="5"/>
      <c r="F83" s="30"/>
      <c r="H83" s="29"/>
      <c r="I83" s="38"/>
      <c r="J83" s="38"/>
      <c r="K83" s="30"/>
      <c r="M83" s="37"/>
      <c r="N83" s="5"/>
      <c r="O83" s="5"/>
      <c r="P83" s="39"/>
      <c r="R83" s="29"/>
      <c r="S83" s="5"/>
      <c r="T83" s="5"/>
      <c r="U83" s="39"/>
      <c r="Z83" s="68"/>
      <c r="AA83" s="68"/>
      <c r="AB83" s="68"/>
      <c r="AC83" s="68"/>
      <c r="AD83" s="68"/>
      <c r="AE83" s="68"/>
      <c r="AF83" s="68"/>
      <c r="AG83" s="68"/>
      <c r="AH83" s="68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68"/>
      <c r="BA83" s="68"/>
      <c r="BB83" s="68"/>
      <c r="BC83" s="68"/>
      <c r="BD83" s="68"/>
      <c r="BE83" s="68"/>
    </row>
    <row r="84" spans="3:57" ht="30" customHeight="1" x14ac:dyDescent="0.25">
      <c r="C84" s="29"/>
      <c r="D84" s="38"/>
      <c r="E84" s="5"/>
      <c r="F84" s="30"/>
      <c r="H84" s="29"/>
      <c r="I84" s="38"/>
      <c r="J84" s="52"/>
      <c r="K84" s="30"/>
      <c r="M84" s="37"/>
      <c r="N84" s="5"/>
      <c r="O84" s="5"/>
      <c r="P84" s="39"/>
      <c r="R84" s="29"/>
      <c r="S84" s="5"/>
      <c r="T84" s="5"/>
      <c r="U84" s="39"/>
      <c r="Z84" s="68"/>
      <c r="AA84" s="68"/>
      <c r="AB84" s="68"/>
      <c r="AC84" s="68"/>
      <c r="AD84" s="68"/>
      <c r="AE84" s="68"/>
      <c r="AF84" s="68"/>
      <c r="AG84" s="68"/>
      <c r="AH84" s="68"/>
      <c r="AI84" s="68"/>
      <c r="AJ84" s="68"/>
      <c r="AK84" s="68"/>
      <c r="AL84" s="68"/>
      <c r="AM84" s="68"/>
      <c r="AN84" s="68"/>
      <c r="AO84" s="68"/>
      <c r="AP84" s="68"/>
      <c r="AQ84" s="68"/>
      <c r="AR84" s="68"/>
      <c r="AS84" s="68"/>
      <c r="AT84" s="68"/>
      <c r="AU84" s="68"/>
      <c r="AV84" s="68"/>
      <c r="AW84" s="68"/>
      <c r="AX84" s="68"/>
      <c r="AY84" s="68"/>
      <c r="AZ84" s="68"/>
      <c r="BA84" s="68"/>
      <c r="BB84" s="68"/>
      <c r="BC84" s="68"/>
      <c r="BD84" s="68"/>
      <c r="BE84" s="68"/>
    </row>
    <row r="85" spans="3:57" ht="30" customHeight="1" x14ac:dyDescent="0.25">
      <c r="C85" s="29"/>
      <c r="D85" s="38"/>
      <c r="E85" s="5"/>
      <c r="F85" s="30"/>
      <c r="H85" s="37"/>
      <c r="I85" s="5"/>
      <c r="J85" s="5"/>
      <c r="K85" s="30"/>
      <c r="M85" s="37"/>
      <c r="N85" s="5"/>
      <c r="O85" s="5"/>
      <c r="P85" s="39"/>
      <c r="R85" s="29"/>
      <c r="S85" s="5"/>
      <c r="T85" s="5"/>
      <c r="U85" s="39"/>
      <c r="Z85" s="68"/>
      <c r="AA85" s="68"/>
      <c r="AB85" s="68"/>
      <c r="AC85" s="68"/>
      <c r="AD85" s="68"/>
      <c r="AE85" s="68"/>
      <c r="AF85" s="68"/>
      <c r="AG85" s="68"/>
      <c r="AH85" s="68"/>
      <c r="AI85" s="68"/>
      <c r="AJ85" s="68"/>
      <c r="AK85" s="68"/>
      <c r="AL85" s="68"/>
      <c r="AM85" s="68"/>
      <c r="AN85" s="68"/>
      <c r="AO85" s="68"/>
      <c r="AP85" s="68"/>
      <c r="AQ85" s="68"/>
      <c r="AR85" s="68"/>
      <c r="AS85" s="68"/>
      <c r="AT85" s="68"/>
      <c r="AU85" s="68"/>
      <c r="AV85" s="68"/>
      <c r="AW85" s="68"/>
      <c r="AX85" s="68"/>
      <c r="AY85" s="68"/>
      <c r="AZ85" s="68"/>
      <c r="BA85" s="68"/>
      <c r="BB85" s="68"/>
      <c r="BC85" s="68"/>
      <c r="BD85" s="68"/>
      <c r="BE85" s="68"/>
    </row>
    <row r="86" spans="3:57" ht="30" customHeight="1" x14ac:dyDescent="0.25">
      <c r="C86" s="31"/>
      <c r="D86" s="41"/>
      <c r="E86" s="32"/>
      <c r="F86" s="33"/>
      <c r="H86" s="40"/>
      <c r="I86" s="41"/>
      <c r="J86" s="41"/>
      <c r="K86" s="42"/>
      <c r="M86" s="40"/>
      <c r="N86" s="41"/>
      <c r="O86" s="41"/>
      <c r="P86" s="42"/>
      <c r="R86" s="31"/>
      <c r="S86" s="32"/>
      <c r="T86" s="32"/>
      <c r="U86" s="42"/>
      <c r="Z86" s="68"/>
      <c r="AA86" s="68"/>
      <c r="AB86" s="68"/>
      <c r="AC86" s="68"/>
      <c r="AD86" s="68"/>
      <c r="AE86" s="68"/>
      <c r="AF86" s="68"/>
      <c r="AG86" s="68"/>
      <c r="AH86" s="68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68"/>
      <c r="BA86" s="68"/>
      <c r="BB86" s="68"/>
      <c r="BC86" s="68"/>
      <c r="BD86" s="68"/>
      <c r="BE86" s="68"/>
    </row>
    <row r="87" spans="3:57" ht="30" customHeight="1" x14ac:dyDescent="0.25">
      <c r="Z87" s="68"/>
      <c r="AA87" s="68"/>
      <c r="AB87" s="68"/>
      <c r="AC87" s="68"/>
      <c r="AD87" s="68"/>
      <c r="AE87" s="68"/>
      <c r="AF87" s="68"/>
      <c r="AG87" s="68"/>
      <c r="AH87" s="68"/>
      <c r="AI87" s="68"/>
      <c r="AJ87" s="68"/>
      <c r="AK87" s="68"/>
      <c r="AL87" s="68"/>
      <c r="AM87" s="68"/>
      <c r="AN87" s="68"/>
      <c r="AO87" s="68"/>
      <c r="AP87" s="68"/>
      <c r="AQ87" s="68"/>
      <c r="AR87" s="68"/>
      <c r="AS87" s="68"/>
      <c r="AT87" s="68"/>
      <c r="AU87" s="68"/>
      <c r="AV87" s="68"/>
      <c r="AW87" s="68"/>
      <c r="AX87" s="68"/>
      <c r="AY87" s="68"/>
      <c r="AZ87" s="68"/>
      <c r="BA87" s="68"/>
      <c r="BB87" s="68"/>
      <c r="BC87" s="68"/>
      <c r="BD87" s="68"/>
      <c r="BE87" s="68"/>
    </row>
    <row r="88" spans="3:57" ht="30" customHeight="1" x14ac:dyDescent="0.25">
      <c r="C88" s="34"/>
      <c r="D88" s="35"/>
      <c r="E88" s="35"/>
      <c r="F88" s="36"/>
      <c r="H88" s="34"/>
      <c r="I88" s="35"/>
      <c r="J88" s="35"/>
      <c r="K88" s="36"/>
      <c r="M88" s="34"/>
      <c r="N88" s="27"/>
      <c r="O88" s="27"/>
      <c r="P88" s="36"/>
      <c r="R88" s="34"/>
      <c r="S88" s="35"/>
      <c r="T88" s="35"/>
      <c r="U88" s="36"/>
      <c r="Z88" s="68"/>
      <c r="AA88" s="68"/>
      <c r="AB88" s="68"/>
      <c r="AC88" s="68"/>
      <c r="AD88" s="68"/>
      <c r="AE88" s="68"/>
      <c r="AF88" s="68"/>
      <c r="AG88" s="68"/>
      <c r="AH88" s="68"/>
      <c r="AI88" s="68"/>
      <c r="AJ88" s="68"/>
      <c r="AK88" s="68"/>
      <c r="AL88" s="68"/>
      <c r="AM88" s="68"/>
      <c r="AN88" s="68"/>
      <c r="AO88" s="68"/>
      <c r="AP88" s="68"/>
      <c r="AQ88" s="68"/>
      <c r="AR88" s="68"/>
      <c r="AS88" s="68"/>
      <c r="AT88" s="68"/>
      <c r="AU88" s="68"/>
      <c r="AV88" s="68"/>
      <c r="AW88" s="68"/>
      <c r="AX88" s="68"/>
      <c r="AY88" s="68"/>
      <c r="AZ88" s="68"/>
      <c r="BA88" s="68"/>
      <c r="BB88" s="68"/>
      <c r="BC88" s="68"/>
      <c r="BD88" s="68"/>
      <c r="BE88" s="68"/>
    </row>
    <row r="89" spans="3:57" ht="30" customHeight="1" x14ac:dyDescent="0.25">
      <c r="C89" s="29"/>
      <c r="D89" s="5"/>
      <c r="E89" s="5"/>
      <c r="F89" s="39"/>
      <c r="H89" s="29"/>
      <c r="I89" s="5"/>
      <c r="J89" s="5"/>
      <c r="K89" s="39"/>
      <c r="M89" s="37"/>
      <c r="N89" s="5"/>
      <c r="O89" s="5"/>
      <c r="P89" s="39"/>
      <c r="R89" s="37"/>
      <c r="S89" s="5"/>
      <c r="T89" s="5"/>
      <c r="U89" s="30"/>
      <c r="Z89" s="68"/>
      <c r="AA89" s="68"/>
      <c r="AB89" s="68"/>
      <c r="AC89" s="68"/>
      <c r="AD89" s="68"/>
      <c r="AE89" s="68"/>
      <c r="AF89" s="68"/>
      <c r="AG89" s="68"/>
      <c r="AH89" s="68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68"/>
      <c r="BA89" s="68"/>
      <c r="BB89" s="68"/>
      <c r="BC89" s="68"/>
      <c r="BD89" s="68"/>
      <c r="BE89" s="68"/>
    </row>
    <row r="90" spans="3:57" ht="30" customHeight="1" x14ac:dyDescent="0.25">
      <c r="C90" s="29"/>
      <c r="D90" s="5"/>
      <c r="E90" s="5"/>
      <c r="F90" s="39"/>
      <c r="H90" s="29"/>
      <c r="I90" s="5"/>
      <c r="J90" s="5"/>
      <c r="K90" s="39"/>
      <c r="M90" s="37"/>
      <c r="N90" s="5"/>
      <c r="O90" s="5"/>
      <c r="P90" s="39"/>
      <c r="R90" s="37"/>
      <c r="S90" s="5"/>
      <c r="T90" s="5"/>
      <c r="U90" s="30"/>
      <c r="Z90" s="68"/>
      <c r="AA90" s="68"/>
      <c r="AB90" s="68"/>
      <c r="AC90" s="68"/>
      <c r="AD90" s="68"/>
      <c r="AE90" s="68"/>
      <c r="AF90" s="68"/>
      <c r="AG90" s="68"/>
      <c r="AH90" s="68"/>
      <c r="AI90" s="68"/>
      <c r="AJ90" s="68"/>
      <c r="AK90" s="68"/>
      <c r="AL90" s="68"/>
      <c r="AM90" s="68"/>
      <c r="AN90" s="68"/>
      <c r="AO90" s="68"/>
      <c r="AP90" s="68"/>
      <c r="AQ90" s="68"/>
      <c r="AR90" s="68"/>
      <c r="AS90" s="68"/>
      <c r="AT90" s="68"/>
      <c r="AU90" s="68"/>
      <c r="AV90" s="68"/>
      <c r="AW90" s="68"/>
      <c r="AX90" s="68"/>
      <c r="AY90" s="68"/>
      <c r="AZ90" s="68"/>
      <c r="BA90" s="68"/>
      <c r="BB90" s="68"/>
      <c r="BC90" s="68"/>
      <c r="BD90" s="68"/>
      <c r="BE90" s="68"/>
    </row>
    <row r="91" spans="3:57" ht="30" customHeight="1" x14ac:dyDescent="0.25">
      <c r="C91" s="37"/>
      <c r="D91" s="38"/>
      <c r="E91" s="38"/>
      <c r="F91" s="39"/>
      <c r="H91" s="37"/>
      <c r="I91" s="38"/>
      <c r="J91" s="38"/>
      <c r="K91" s="39"/>
      <c r="M91" s="37"/>
      <c r="N91" s="38"/>
      <c r="O91" s="38"/>
      <c r="P91" s="39"/>
      <c r="R91" s="37"/>
      <c r="S91" s="38"/>
      <c r="T91" s="38"/>
      <c r="U91" s="39"/>
      <c r="Z91" s="68"/>
      <c r="AA91" s="68"/>
      <c r="AB91" s="68"/>
      <c r="AC91" s="68"/>
      <c r="AD91" s="68"/>
      <c r="AE91" s="68"/>
      <c r="AF91" s="68"/>
      <c r="AG91" s="68"/>
      <c r="AH91" s="68"/>
      <c r="AI91" s="68"/>
      <c r="AJ91" s="68"/>
      <c r="AK91" s="68"/>
      <c r="AL91" s="68"/>
      <c r="AM91" s="68"/>
      <c r="AN91" s="68"/>
      <c r="AO91" s="68"/>
      <c r="AP91" s="68"/>
      <c r="AQ91" s="68"/>
      <c r="AR91" s="68"/>
      <c r="AS91" s="68"/>
      <c r="AT91" s="68"/>
      <c r="AU91" s="68"/>
      <c r="AV91" s="68"/>
      <c r="AW91" s="68"/>
      <c r="AX91" s="68"/>
      <c r="AY91" s="68"/>
      <c r="AZ91" s="68"/>
      <c r="BA91" s="68"/>
      <c r="BB91" s="68"/>
      <c r="BC91" s="68"/>
      <c r="BD91" s="68"/>
      <c r="BE91" s="68"/>
    </row>
    <row r="92" spans="3:57" ht="30" customHeight="1" x14ac:dyDescent="0.25">
      <c r="C92" s="37"/>
      <c r="D92" s="5"/>
      <c r="E92" s="5"/>
      <c r="F92" s="30"/>
      <c r="H92" s="29"/>
      <c r="I92" s="5"/>
      <c r="J92" s="5"/>
      <c r="K92" s="39"/>
      <c r="M92" s="29"/>
      <c r="N92" s="5"/>
      <c r="O92" s="5"/>
      <c r="P92" s="39"/>
      <c r="R92" s="29"/>
      <c r="S92" s="5"/>
      <c r="T92" s="5"/>
      <c r="U92" s="39"/>
      <c r="Z92" s="68"/>
      <c r="AA92" s="68"/>
      <c r="AB92" s="68"/>
      <c r="AC92" s="68"/>
      <c r="AD92" s="68"/>
      <c r="AE92" s="68"/>
      <c r="AF92" s="68"/>
      <c r="AG92" s="68"/>
      <c r="AH92" s="68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68"/>
      <c r="BA92" s="68"/>
      <c r="BB92" s="68"/>
      <c r="BC92" s="68"/>
      <c r="BD92" s="68"/>
      <c r="BE92" s="68"/>
    </row>
    <row r="93" spans="3:57" ht="30" customHeight="1" x14ac:dyDescent="0.25">
      <c r="C93" s="37"/>
      <c r="D93" s="5"/>
      <c r="E93" s="5"/>
      <c r="F93" s="30"/>
      <c r="H93" s="29"/>
      <c r="I93" s="5"/>
      <c r="J93" s="5"/>
      <c r="K93" s="39"/>
      <c r="M93" s="29"/>
      <c r="N93" s="5"/>
      <c r="O93" s="5"/>
      <c r="P93" s="39"/>
      <c r="R93" s="29"/>
      <c r="S93" s="5"/>
      <c r="T93" s="5"/>
      <c r="U93" s="39"/>
      <c r="Z93" s="68"/>
      <c r="AA93" s="68"/>
      <c r="AB93" s="68"/>
      <c r="AC93" s="68"/>
      <c r="AD93" s="68"/>
      <c r="AE93" s="68"/>
      <c r="AF93" s="68"/>
      <c r="AG93" s="68"/>
      <c r="AH93" s="68"/>
      <c r="AI93" s="68"/>
      <c r="AJ93" s="68"/>
      <c r="AK93" s="68"/>
      <c r="AL93" s="68"/>
      <c r="AM93" s="68"/>
      <c r="AN93" s="68"/>
      <c r="AO93" s="68"/>
      <c r="AP93" s="68"/>
      <c r="AQ93" s="68"/>
      <c r="AR93" s="68"/>
      <c r="AS93" s="68"/>
      <c r="AT93" s="68"/>
      <c r="AU93" s="68"/>
      <c r="AV93" s="68"/>
      <c r="AW93" s="68"/>
      <c r="AX93" s="68"/>
      <c r="AY93" s="68"/>
      <c r="AZ93" s="68"/>
      <c r="BA93" s="68"/>
      <c r="BB93" s="68"/>
      <c r="BC93" s="68"/>
      <c r="BD93" s="68"/>
      <c r="BE93" s="68"/>
    </row>
    <row r="94" spans="3:57" ht="30" customHeight="1" x14ac:dyDescent="0.25">
      <c r="C94" s="37"/>
      <c r="D94" s="5"/>
      <c r="E94" s="5"/>
      <c r="F94" s="30"/>
      <c r="H94" s="29"/>
      <c r="I94" s="5"/>
      <c r="J94" s="5"/>
      <c r="K94" s="39"/>
      <c r="M94" s="29"/>
      <c r="N94" s="5"/>
      <c r="O94" s="5"/>
      <c r="P94" s="39"/>
      <c r="R94" s="29"/>
      <c r="S94" s="5"/>
      <c r="T94" s="5"/>
      <c r="U94" s="39"/>
      <c r="Z94" s="68"/>
      <c r="AA94" s="68"/>
      <c r="AB94" s="68"/>
      <c r="AC94" s="68"/>
      <c r="AD94" s="68"/>
      <c r="AE94" s="68"/>
      <c r="AF94" s="68"/>
      <c r="AG94" s="68"/>
      <c r="AH94" s="68"/>
      <c r="AI94" s="68"/>
      <c r="AJ94" s="68"/>
      <c r="AK94" s="68"/>
      <c r="AL94" s="68"/>
      <c r="AM94" s="68"/>
      <c r="AN94" s="68"/>
      <c r="AO94" s="68"/>
      <c r="AP94" s="68"/>
      <c r="AQ94" s="68"/>
      <c r="AR94" s="68"/>
      <c r="AS94" s="68"/>
      <c r="AT94" s="68"/>
      <c r="AU94" s="68"/>
      <c r="AV94" s="68"/>
      <c r="AW94" s="68"/>
      <c r="AX94" s="68"/>
      <c r="AY94" s="68"/>
      <c r="AZ94" s="68"/>
      <c r="BA94" s="68"/>
      <c r="BB94" s="68"/>
      <c r="BC94" s="68"/>
      <c r="BD94" s="68"/>
      <c r="BE94" s="68"/>
    </row>
    <row r="95" spans="3:57" ht="30" customHeight="1" x14ac:dyDescent="0.25">
      <c r="C95" s="40"/>
      <c r="D95" s="41"/>
      <c r="E95" s="41"/>
      <c r="F95" s="42"/>
      <c r="H95" s="40"/>
      <c r="I95" s="41"/>
      <c r="J95" s="41"/>
      <c r="K95" s="42"/>
      <c r="M95" s="31"/>
      <c r="N95" s="32"/>
      <c r="O95" s="32"/>
      <c r="P95" s="42"/>
      <c r="R95" s="40"/>
      <c r="S95" s="41"/>
      <c r="T95" s="41"/>
      <c r="U95" s="42"/>
      <c r="Z95" s="68"/>
      <c r="AA95" s="68"/>
      <c r="AB95" s="68"/>
      <c r="AC95" s="68"/>
      <c r="AD95" s="68"/>
      <c r="AE95" s="68"/>
      <c r="AF95" s="68"/>
      <c r="AG95" s="68"/>
      <c r="AH95" s="68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68"/>
      <c r="BA95" s="68"/>
      <c r="BB95" s="68"/>
      <c r="BC95" s="68"/>
      <c r="BD95" s="68"/>
      <c r="BE95" s="68"/>
    </row>
    <row r="96" spans="3:57" ht="30" customHeight="1" x14ac:dyDescent="0.25">
      <c r="Z96" s="68"/>
      <c r="AA96" s="68"/>
      <c r="AB96" s="68"/>
      <c r="AC96" s="68"/>
      <c r="AD96" s="68"/>
      <c r="AE96" s="68"/>
      <c r="AF96" s="68"/>
      <c r="AG96" s="68"/>
      <c r="AH96" s="68"/>
      <c r="AI96" s="68"/>
      <c r="AJ96" s="68"/>
      <c r="AK96" s="68"/>
      <c r="AL96" s="68"/>
      <c r="AM96" s="68"/>
      <c r="AN96" s="68"/>
      <c r="AO96" s="68"/>
      <c r="AP96" s="68"/>
      <c r="AQ96" s="68"/>
      <c r="AR96" s="68"/>
      <c r="AS96" s="68"/>
      <c r="AT96" s="68"/>
      <c r="AU96" s="68"/>
      <c r="AV96" s="68"/>
      <c r="AW96" s="68"/>
      <c r="AX96" s="68"/>
      <c r="AY96" s="68"/>
      <c r="AZ96" s="68"/>
      <c r="BA96" s="68"/>
      <c r="BB96" s="68"/>
      <c r="BC96" s="68"/>
      <c r="BD96" s="68"/>
      <c r="BE96" s="68"/>
    </row>
    <row r="97" spans="3:57" ht="30" customHeight="1" x14ac:dyDescent="0.25">
      <c r="C97" s="34"/>
      <c r="D97" s="35"/>
      <c r="E97" s="35"/>
      <c r="F97" s="36"/>
      <c r="H97" s="34"/>
      <c r="I97" s="35"/>
      <c r="J97" s="35"/>
      <c r="K97" s="36"/>
      <c r="M97" s="34"/>
      <c r="N97" s="35"/>
      <c r="O97" s="35"/>
      <c r="P97" s="36"/>
      <c r="R97" s="34"/>
      <c r="S97" s="35"/>
      <c r="T97" s="35"/>
      <c r="U97" s="36"/>
      <c r="Z97" s="68"/>
      <c r="AA97" s="68"/>
      <c r="AB97" s="68"/>
      <c r="AC97" s="68"/>
      <c r="AD97" s="68"/>
      <c r="AE97" s="68"/>
      <c r="AF97" s="68"/>
      <c r="AG97" s="68"/>
      <c r="AH97" s="68"/>
      <c r="AI97" s="68"/>
      <c r="AJ97" s="68"/>
      <c r="AK97" s="68"/>
      <c r="AL97" s="68"/>
      <c r="AM97" s="68"/>
      <c r="AN97" s="68"/>
      <c r="AO97" s="68"/>
      <c r="AP97" s="68"/>
      <c r="AQ97" s="68"/>
      <c r="AR97" s="68"/>
      <c r="AS97" s="68"/>
      <c r="AT97" s="68"/>
      <c r="AU97" s="68"/>
      <c r="AV97" s="68"/>
      <c r="AW97" s="68"/>
      <c r="AX97" s="68"/>
      <c r="AY97" s="68"/>
      <c r="AZ97" s="68"/>
      <c r="BA97" s="68"/>
      <c r="BB97" s="68"/>
      <c r="BC97" s="68"/>
      <c r="BD97" s="68"/>
      <c r="BE97" s="68"/>
    </row>
    <row r="98" spans="3:57" ht="30" customHeight="1" x14ac:dyDescent="0.25">
      <c r="C98" s="37"/>
      <c r="D98" s="5"/>
      <c r="E98" s="5"/>
      <c r="F98" s="30"/>
      <c r="H98" s="29"/>
      <c r="I98" s="5"/>
      <c r="J98" s="5"/>
      <c r="K98" s="39"/>
      <c r="M98" s="37"/>
      <c r="N98" s="5"/>
      <c r="O98" s="5"/>
      <c r="P98" s="39"/>
      <c r="R98" s="37"/>
      <c r="S98" s="52"/>
      <c r="T98" s="52"/>
      <c r="U98" s="39"/>
      <c r="Z98" s="68"/>
      <c r="AA98" s="68"/>
      <c r="AB98" s="68"/>
      <c r="AC98" s="68"/>
      <c r="AD98" s="68"/>
      <c r="AE98" s="68"/>
      <c r="AF98" s="68"/>
      <c r="AG98" s="68"/>
      <c r="AH98" s="68"/>
      <c r="AI98" s="68"/>
      <c r="AJ98" s="68"/>
      <c r="AK98" s="68"/>
      <c r="AL98" s="68"/>
      <c r="AM98" s="68"/>
      <c r="AN98" s="68"/>
      <c r="AO98" s="68"/>
      <c r="AP98" s="68"/>
      <c r="AQ98" s="68"/>
      <c r="AR98" s="68"/>
      <c r="AS98" s="68"/>
      <c r="AT98" s="68"/>
      <c r="AU98" s="68"/>
      <c r="AV98" s="68"/>
      <c r="AW98" s="68"/>
      <c r="AX98" s="68"/>
      <c r="AY98" s="68"/>
      <c r="AZ98" s="68"/>
      <c r="BA98" s="68"/>
      <c r="BB98" s="68"/>
      <c r="BC98" s="68"/>
      <c r="BD98" s="68"/>
      <c r="BE98" s="68"/>
    </row>
    <row r="99" spans="3:57" ht="30" customHeight="1" x14ac:dyDescent="0.25">
      <c r="C99" s="37"/>
      <c r="D99" s="5"/>
      <c r="E99" s="5"/>
      <c r="F99" s="30"/>
      <c r="H99" s="29"/>
      <c r="I99" s="5"/>
      <c r="J99" s="5"/>
      <c r="K99" s="39"/>
      <c r="M99" s="37"/>
      <c r="N99" s="5"/>
      <c r="O99" s="5"/>
      <c r="P99" s="39"/>
      <c r="R99" s="37"/>
      <c r="S99" s="52"/>
      <c r="T99" s="52"/>
      <c r="U99" s="39"/>
      <c r="Z99" s="68"/>
      <c r="AA99" s="68"/>
      <c r="AB99" s="68"/>
      <c r="AC99" s="68"/>
      <c r="AD99" s="68"/>
      <c r="AE99" s="68"/>
      <c r="AF99" s="68"/>
      <c r="AG99" s="68"/>
      <c r="AH99" s="68"/>
      <c r="AI99" s="68"/>
      <c r="AJ99" s="68"/>
      <c r="AK99" s="68"/>
      <c r="AL99" s="68"/>
      <c r="AM99" s="68"/>
      <c r="AN99" s="68"/>
      <c r="AO99" s="68"/>
      <c r="AP99" s="68"/>
      <c r="AQ99" s="68"/>
      <c r="AR99" s="68"/>
      <c r="AS99" s="68"/>
      <c r="AT99" s="68"/>
      <c r="AU99" s="68"/>
      <c r="AV99" s="68"/>
      <c r="AW99" s="68"/>
      <c r="AX99" s="68"/>
      <c r="AY99" s="68"/>
      <c r="AZ99" s="68"/>
      <c r="BA99" s="68"/>
      <c r="BB99" s="68"/>
      <c r="BC99" s="68"/>
      <c r="BD99" s="68"/>
      <c r="BE99" s="68"/>
    </row>
    <row r="100" spans="3:57" ht="30" customHeight="1" x14ac:dyDescent="0.25">
      <c r="C100" s="37"/>
      <c r="D100" s="38"/>
      <c r="E100" s="38"/>
      <c r="F100" s="39"/>
      <c r="H100" s="29"/>
      <c r="I100" s="5"/>
      <c r="J100" s="5"/>
      <c r="K100" s="39"/>
      <c r="M100" s="37"/>
      <c r="N100" s="38"/>
      <c r="O100" s="38"/>
      <c r="P100" s="39"/>
      <c r="R100" s="37"/>
      <c r="S100" s="38"/>
      <c r="T100" s="38"/>
      <c r="U100" s="39"/>
      <c r="Z100" s="68"/>
      <c r="AA100" s="68"/>
      <c r="AB100" s="68"/>
      <c r="AC100" s="68"/>
      <c r="AD100" s="68"/>
      <c r="AE100" s="68"/>
      <c r="AF100" s="68"/>
      <c r="AG100" s="68"/>
      <c r="AH100" s="68"/>
      <c r="AI100" s="68"/>
      <c r="AJ100" s="68"/>
      <c r="AK100" s="68"/>
      <c r="AL100" s="68"/>
      <c r="AM100" s="68"/>
      <c r="AN100" s="68"/>
      <c r="AO100" s="68"/>
      <c r="AP100" s="68"/>
      <c r="AQ100" s="68"/>
      <c r="AR100" s="68"/>
      <c r="AS100" s="68"/>
      <c r="AT100" s="68"/>
      <c r="AU100" s="68"/>
      <c r="AV100" s="68"/>
      <c r="AW100" s="68"/>
      <c r="AX100" s="68"/>
      <c r="AY100" s="68"/>
      <c r="AZ100" s="68"/>
      <c r="BA100" s="68"/>
      <c r="BB100" s="68"/>
      <c r="BC100" s="68"/>
      <c r="BD100" s="68"/>
      <c r="BE100" s="68"/>
    </row>
    <row r="101" spans="3:57" ht="30" customHeight="1" x14ac:dyDescent="0.25">
      <c r="C101" s="37"/>
      <c r="D101" s="5"/>
      <c r="E101" s="5"/>
      <c r="F101" s="39"/>
      <c r="H101" s="29"/>
      <c r="I101" s="5"/>
      <c r="J101" s="5"/>
      <c r="K101" s="39"/>
      <c r="M101" s="37"/>
      <c r="N101" s="5"/>
      <c r="O101" s="5"/>
      <c r="P101" s="39"/>
      <c r="R101" s="57"/>
      <c r="S101" s="52"/>
      <c r="T101" s="52"/>
      <c r="U101" s="39"/>
      <c r="Z101" s="68"/>
      <c r="AA101" s="68"/>
      <c r="AB101" s="68"/>
      <c r="AC101" s="68"/>
      <c r="AD101" s="68"/>
      <c r="AE101" s="68"/>
      <c r="AF101" s="68"/>
      <c r="AG101" s="68"/>
      <c r="AH101" s="68"/>
      <c r="AI101" s="68"/>
      <c r="AJ101" s="68"/>
      <c r="AK101" s="68"/>
      <c r="AL101" s="68"/>
      <c r="AM101" s="68"/>
      <c r="AN101" s="68"/>
      <c r="AO101" s="68"/>
      <c r="AP101" s="68"/>
      <c r="AQ101" s="68"/>
      <c r="AR101" s="68"/>
      <c r="AS101" s="68"/>
      <c r="AT101" s="68"/>
      <c r="AU101" s="68"/>
      <c r="AV101" s="68"/>
      <c r="AW101" s="68"/>
      <c r="AX101" s="68"/>
      <c r="AY101" s="68"/>
      <c r="AZ101" s="68"/>
      <c r="BA101" s="68"/>
      <c r="BB101" s="68"/>
      <c r="BC101" s="68"/>
      <c r="BD101" s="68"/>
      <c r="BE101" s="68"/>
    </row>
    <row r="102" spans="3:57" ht="30" customHeight="1" x14ac:dyDescent="0.25">
      <c r="C102" s="37"/>
      <c r="D102" s="5"/>
      <c r="E102" s="5"/>
      <c r="F102" s="39"/>
      <c r="H102" s="29"/>
      <c r="I102" s="5"/>
      <c r="J102" s="5"/>
      <c r="K102" s="39"/>
      <c r="M102" s="37"/>
      <c r="N102" s="5"/>
      <c r="O102" s="5"/>
      <c r="P102" s="39"/>
      <c r="R102" s="57"/>
      <c r="S102" s="52"/>
      <c r="T102" s="52"/>
      <c r="U102" s="39"/>
      <c r="Z102" s="68"/>
      <c r="AA102" s="68"/>
      <c r="AB102" s="68"/>
      <c r="AC102" s="68"/>
      <c r="AD102" s="68"/>
      <c r="AE102" s="68"/>
      <c r="AF102" s="68"/>
      <c r="AG102" s="68"/>
      <c r="AH102" s="68"/>
      <c r="AI102" s="68"/>
      <c r="AJ102" s="68"/>
      <c r="AK102" s="68"/>
      <c r="AL102" s="68"/>
      <c r="AM102" s="68"/>
      <c r="AN102" s="68"/>
      <c r="AO102" s="68"/>
      <c r="AP102" s="68"/>
      <c r="AQ102" s="68"/>
      <c r="AR102" s="68"/>
      <c r="AS102" s="68"/>
      <c r="AT102" s="68"/>
      <c r="AU102" s="68"/>
      <c r="AV102" s="68"/>
      <c r="AW102" s="68"/>
      <c r="AX102" s="68"/>
      <c r="AY102" s="68"/>
      <c r="AZ102" s="68"/>
      <c r="BA102" s="68"/>
      <c r="BB102" s="68"/>
      <c r="BC102" s="68"/>
      <c r="BD102" s="68"/>
      <c r="BE102" s="68"/>
    </row>
    <row r="103" spans="3:57" ht="30" customHeight="1" x14ac:dyDescent="0.25">
      <c r="C103" s="37"/>
      <c r="D103" s="5"/>
      <c r="E103" s="5"/>
      <c r="F103" s="39"/>
      <c r="H103" s="29"/>
      <c r="I103" s="5"/>
      <c r="J103" s="5"/>
      <c r="K103" s="39"/>
      <c r="M103" s="37"/>
      <c r="N103" s="5"/>
      <c r="O103" s="5"/>
      <c r="P103" s="39"/>
      <c r="R103" s="57"/>
      <c r="S103" s="52"/>
      <c r="T103" s="52"/>
      <c r="U103" s="39"/>
      <c r="Z103" s="68"/>
      <c r="AA103" s="68"/>
      <c r="AB103" s="68"/>
      <c r="AC103" s="68"/>
      <c r="AD103" s="68"/>
      <c r="AE103" s="68"/>
      <c r="AF103" s="68"/>
      <c r="AG103" s="68"/>
      <c r="AH103" s="68"/>
      <c r="AI103" s="68"/>
      <c r="AJ103" s="68"/>
      <c r="AK103" s="68"/>
      <c r="AL103" s="68"/>
      <c r="AM103" s="68"/>
      <c r="AN103" s="68"/>
      <c r="AO103" s="68"/>
      <c r="AP103" s="68"/>
      <c r="AQ103" s="68"/>
      <c r="AR103" s="68"/>
      <c r="AS103" s="68"/>
      <c r="AT103" s="68"/>
      <c r="AU103" s="68"/>
      <c r="AV103" s="68"/>
      <c r="AW103" s="68"/>
      <c r="AX103" s="68"/>
      <c r="AY103" s="68"/>
      <c r="AZ103" s="68"/>
      <c r="BA103" s="68"/>
      <c r="BB103" s="68"/>
      <c r="BC103" s="68"/>
      <c r="BD103" s="68"/>
      <c r="BE103" s="68"/>
    </row>
    <row r="104" spans="3:57" ht="30" customHeight="1" x14ac:dyDescent="0.25">
      <c r="C104" s="40"/>
      <c r="D104" s="41"/>
      <c r="E104" s="41"/>
      <c r="F104" s="42"/>
      <c r="H104" s="31"/>
      <c r="I104" s="32"/>
      <c r="J104" s="32"/>
      <c r="K104" s="42"/>
      <c r="M104" s="40"/>
      <c r="N104" s="41"/>
      <c r="O104" s="41"/>
      <c r="P104" s="42"/>
      <c r="R104" s="40"/>
      <c r="S104" s="41"/>
      <c r="T104" s="41"/>
      <c r="U104" s="42"/>
      <c r="Z104" s="68"/>
      <c r="AA104" s="68"/>
      <c r="AB104" s="68"/>
      <c r="AC104" s="68"/>
      <c r="AD104" s="68"/>
      <c r="AE104" s="68"/>
      <c r="AF104" s="68"/>
      <c r="AG104" s="68"/>
      <c r="AH104" s="68"/>
      <c r="AI104" s="68"/>
      <c r="AJ104" s="68"/>
      <c r="AK104" s="68"/>
      <c r="AL104" s="68"/>
      <c r="AM104" s="68"/>
      <c r="AN104" s="68"/>
      <c r="AO104" s="68"/>
      <c r="AP104" s="68"/>
      <c r="AQ104" s="68"/>
      <c r="AR104" s="68"/>
      <c r="AS104" s="68"/>
      <c r="AT104" s="68"/>
      <c r="AU104" s="68"/>
      <c r="AV104" s="68"/>
      <c r="AW104" s="68"/>
      <c r="AX104" s="68"/>
      <c r="AY104" s="68"/>
      <c r="AZ104" s="68"/>
      <c r="BA104" s="68"/>
      <c r="BB104" s="68"/>
      <c r="BC104" s="68"/>
      <c r="BD104" s="68"/>
      <c r="BE104" s="68"/>
    </row>
    <row r="105" spans="3:57" ht="30" customHeight="1" x14ac:dyDescent="0.25">
      <c r="Z105" s="68"/>
      <c r="AA105" s="68"/>
      <c r="AB105" s="68"/>
      <c r="AC105" s="68"/>
      <c r="AD105" s="68"/>
      <c r="AE105" s="68"/>
      <c r="AF105" s="68"/>
      <c r="AG105" s="68"/>
      <c r="AH105" s="68"/>
      <c r="AI105" s="68"/>
      <c r="AJ105" s="68"/>
      <c r="AK105" s="68"/>
      <c r="AL105" s="68"/>
      <c r="AM105" s="68"/>
      <c r="AN105" s="68"/>
      <c r="AO105" s="68"/>
      <c r="AP105" s="68"/>
      <c r="AQ105" s="68"/>
      <c r="AR105" s="68"/>
      <c r="AS105" s="68"/>
      <c r="AT105" s="68"/>
      <c r="AU105" s="68"/>
      <c r="AV105" s="68"/>
      <c r="AW105" s="68"/>
      <c r="AX105" s="68"/>
      <c r="AY105" s="68"/>
      <c r="AZ105" s="68"/>
      <c r="BA105" s="68"/>
      <c r="BB105" s="68"/>
      <c r="BC105" s="68"/>
      <c r="BD105" s="68"/>
      <c r="BE105" s="68"/>
    </row>
    <row r="106" spans="3:57" ht="30" customHeight="1" x14ac:dyDescent="0.25">
      <c r="Z106" s="68"/>
      <c r="AA106" s="68"/>
      <c r="AB106" s="68"/>
      <c r="AC106" s="68"/>
      <c r="AD106" s="68"/>
      <c r="AE106" s="68"/>
      <c r="AF106" s="68"/>
      <c r="AG106" s="68"/>
      <c r="AH106" s="68"/>
      <c r="AI106" s="68"/>
      <c r="AJ106" s="68"/>
      <c r="AK106" s="68"/>
      <c r="AL106" s="68"/>
      <c r="AM106" s="68"/>
      <c r="AN106" s="68"/>
      <c r="AO106" s="68"/>
      <c r="AP106" s="68"/>
      <c r="AQ106" s="68"/>
      <c r="AR106" s="68"/>
      <c r="AS106" s="68"/>
      <c r="AT106" s="68"/>
      <c r="AU106" s="68"/>
      <c r="AV106" s="68"/>
      <c r="AW106" s="68"/>
      <c r="AX106" s="68"/>
      <c r="AY106" s="68"/>
      <c r="AZ106" s="68"/>
      <c r="BA106" s="68"/>
      <c r="BB106" s="68"/>
      <c r="BC106" s="68"/>
      <c r="BD106" s="68"/>
      <c r="BE106" s="68"/>
    </row>
    <row r="107" spans="3:57" ht="30" customHeight="1" x14ac:dyDescent="0.25">
      <c r="Z107" s="68"/>
      <c r="AA107" s="68"/>
      <c r="AB107" s="68"/>
      <c r="AC107" s="68"/>
      <c r="AD107" s="68"/>
      <c r="AE107" s="68"/>
      <c r="AF107" s="68"/>
      <c r="AG107" s="68"/>
      <c r="AH107" s="68"/>
      <c r="AI107" s="68"/>
      <c r="AJ107" s="68"/>
      <c r="AK107" s="68"/>
      <c r="AL107" s="68"/>
      <c r="AM107" s="68"/>
      <c r="AN107" s="68"/>
      <c r="AO107" s="68"/>
      <c r="AP107" s="68"/>
      <c r="AQ107" s="68"/>
      <c r="AR107" s="68"/>
      <c r="AS107" s="68"/>
      <c r="AT107" s="68"/>
      <c r="AU107" s="68"/>
      <c r="AV107" s="68"/>
      <c r="AW107" s="68"/>
      <c r="AX107" s="68"/>
      <c r="AY107" s="68"/>
      <c r="AZ107" s="68"/>
      <c r="BA107" s="68"/>
      <c r="BB107" s="68"/>
      <c r="BC107" s="68"/>
      <c r="BD107" s="68"/>
      <c r="BE107" s="68"/>
    </row>
    <row r="108" spans="3:57" ht="30" customHeight="1" x14ac:dyDescent="0.25">
      <c r="Z108" s="68"/>
      <c r="AA108" s="68"/>
      <c r="AB108" s="68"/>
      <c r="AC108" s="68"/>
      <c r="AD108" s="68"/>
      <c r="AE108" s="68"/>
      <c r="AF108" s="68"/>
      <c r="AG108" s="68"/>
      <c r="AH108" s="68"/>
      <c r="AI108" s="68"/>
      <c r="AJ108" s="68"/>
      <c r="AK108" s="68"/>
      <c r="AL108" s="68"/>
      <c r="AM108" s="68"/>
      <c r="AN108" s="68"/>
      <c r="AO108" s="68"/>
      <c r="AP108" s="68"/>
      <c r="AQ108" s="68"/>
      <c r="AR108" s="68"/>
      <c r="AS108" s="68"/>
      <c r="AT108" s="68"/>
      <c r="AU108" s="68"/>
      <c r="AV108" s="68"/>
      <c r="AW108" s="68"/>
      <c r="AX108" s="68"/>
      <c r="AY108" s="68"/>
      <c r="AZ108" s="68"/>
      <c r="BA108" s="68"/>
      <c r="BB108" s="68"/>
      <c r="BC108" s="68"/>
      <c r="BD108" s="68"/>
      <c r="BE108" s="68"/>
    </row>
    <row r="109" spans="3:57" ht="30" customHeight="1" x14ac:dyDescent="0.25">
      <c r="Z109" s="68"/>
      <c r="AA109" s="68"/>
      <c r="AB109" s="68"/>
      <c r="AC109" s="68"/>
      <c r="AD109" s="68"/>
      <c r="AE109" s="68"/>
      <c r="AF109" s="68"/>
      <c r="AG109" s="68"/>
      <c r="AH109" s="68"/>
      <c r="AI109" s="68"/>
      <c r="AJ109" s="68"/>
      <c r="AK109" s="68"/>
      <c r="AL109" s="68"/>
      <c r="AM109" s="68"/>
      <c r="AN109" s="68"/>
      <c r="AO109" s="68"/>
      <c r="AP109" s="68"/>
      <c r="AQ109" s="68"/>
      <c r="AR109" s="68"/>
      <c r="AS109" s="68"/>
      <c r="AT109" s="68"/>
      <c r="AU109" s="68"/>
      <c r="AV109" s="68"/>
      <c r="AW109" s="68"/>
      <c r="AX109" s="68"/>
      <c r="AY109" s="68"/>
      <c r="AZ109" s="68"/>
      <c r="BA109" s="68"/>
      <c r="BB109" s="68"/>
      <c r="BC109" s="68"/>
      <c r="BD109" s="68"/>
      <c r="BE109" s="68"/>
    </row>
    <row r="110" spans="3:57" ht="30" customHeight="1" x14ac:dyDescent="0.25">
      <c r="Z110" s="68"/>
      <c r="AA110" s="68"/>
      <c r="AB110" s="68"/>
      <c r="AC110" s="68"/>
      <c r="AD110" s="68"/>
      <c r="AE110" s="68"/>
      <c r="AF110" s="68"/>
      <c r="AG110" s="68"/>
      <c r="AH110" s="68"/>
      <c r="AI110" s="68"/>
      <c r="AJ110" s="68"/>
      <c r="AK110" s="68"/>
      <c r="AL110" s="68"/>
      <c r="AM110" s="68"/>
      <c r="AN110" s="68"/>
      <c r="AO110" s="68"/>
      <c r="AP110" s="68"/>
      <c r="AQ110" s="68"/>
      <c r="AR110" s="68"/>
      <c r="AS110" s="68"/>
      <c r="AT110" s="68"/>
      <c r="AU110" s="68"/>
      <c r="AV110" s="68"/>
      <c r="AW110" s="68"/>
      <c r="AX110" s="68"/>
      <c r="AY110" s="68"/>
      <c r="AZ110" s="68"/>
      <c r="BA110" s="68"/>
      <c r="BB110" s="68"/>
      <c r="BC110" s="68"/>
      <c r="BD110" s="68"/>
      <c r="BE110" s="68"/>
    </row>
    <row r="111" spans="3:57" ht="30" customHeight="1" x14ac:dyDescent="0.25">
      <c r="Z111" s="68"/>
      <c r="AA111" s="68"/>
      <c r="AB111" s="68"/>
      <c r="AC111" s="68"/>
      <c r="AD111" s="68"/>
      <c r="AE111" s="68"/>
      <c r="AF111" s="68"/>
      <c r="AG111" s="68"/>
      <c r="AH111" s="68"/>
      <c r="AI111" s="68"/>
      <c r="AJ111" s="68"/>
      <c r="AK111" s="68"/>
      <c r="AL111" s="68"/>
      <c r="AM111" s="68"/>
      <c r="AN111" s="68"/>
      <c r="AO111" s="68"/>
      <c r="AP111" s="68"/>
      <c r="AQ111" s="68"/>
      <c r="AR111" s="68"/>
      <c r="AS111" s="68"/>
      <c r="AT111" s="68"/>
      <c r="AU111" s="68"/>
      <c r="AV111" s="68"/>
      <c r="AW111" s="68"/>
      <c r="AX111" s="68"/>
      <c r="AY111" s="68"/>
      <c r="AZ111" s="68"/>
      <c r="BA111" s="68"/>
      <c r="BB111" s="68"/>
      <c r="BC111" s="68"/>
      <c r="BD111" s="68"/>
      <c r="BE111" s="68"/>
    </row>
    <row r="112" spans="3:57" ht="30" customHeight="1" x14ac:dyDescent="0.25">
      <c r="Z112" s="68"/>
      <c r="AA112" s="68"/>
      <c r="AB112" s="68"/>
      <c r="AC112" s="68"/>
      <c r="AD112" s="68"/>
      <c r="AE112" s="68"/>
      <c r="AF112" s="68"/>
      <c r="AG112" s="68"/>
      <c r="AH112" s="68"/>
      <c r="AI112" s="68"/>
      <c r="AJ112" s="68"/>
      <c r="AK112" s="68"/>
      <c r="AL112" s="68"/>
      <c r="AM112" s="68"/>
      <c r="AN112" s="68"/>
      <c r="AO112" s="68"/>
      <c r="AP112" s="68"/>
      <c r="AQ112" s="68"/>
      <c r="AR112" s="68"/>
      <c r="AS112" s="68"/>
      <c r="AT112" s="68"/>
      <c r="AU112" s="68"/>
      <c r="AV112" s="68"/>
      <c r="AW112" s="68"/>
      <c r="AX112" s="68"/>
      <c r="AY112" s="68"/>
      <c r="AZ112" s="68"/>
      <c r="BA112" s="68"/>
      <c r="BB112" s="68"/>
      <c r="BC112" s="68"/>
      <c r="BD112" s="68"/>
      <c r="BE112" s="68"/>
    </row>
    <row r="113" spans="26:57" ht="30" customHeight="1" x14ac:dyDescent="0.25">
      <c r="Z113" s="68"/>
      <c r="AA113" s="68"/>
      <c r="AB113" s="68"/>
      <c r="AC113" s="68"/>
      <c r="AD113" s="68"/>
      <c r="AE113" s="68"/>
      <c r="AF113" s="68"/>
      <c r="AG113" s="68"/>
      <c r="AH113" s="68"/>
      <c r="AI113" s="68"/>
      <c r="AJ113" s="68"/>
      <c r="AK113" s="68"/>
      <c r="AL113" s="68"/>
      <c r="AM113" s="68"/>
      <c r="AN113" s="68"/>
      <c r="AO113" s="68"/>
      <c r="AP113" s="68"/>
      <c r="AQ113" s="68"/>
      <c r="AR113" s="68"/>
      <c r="AS113" s="68"/>
      <c r="AT113" s="68"/>
      <c r="AU113" s="68"/>
      <c r="AV113" s="68"/>
      <c r="AW113" s="68"/>
      <c r="AX113" s="68"/>
      <c r="AY113" s="68"/>
      <c r="AZ113" s="68"/>
      <c r="BA113" s="68"/>
      <c r="BB113" s="68"/>
      <c r="BC113" s="68"/>
      <c r="BD113" s="68"/>
      <c r="BE113" s="68"/>
    </row>
    <row r="114" spans="26:57" ht="30" customHeight="1" x14ac:dyDescent="0.25">
      <c r="Z114" s="68"/>
      <c r="AA114" s="68"/>
      <c r="AB114" s="68"/>
      <c r="AC114" s="68"/>
      <c r="AD114" s="68"/>
      <c r="AE114" s="68"/>
      <c r="AF114" s="68"/>
      <c r="AG114" s="68"/>
      <c r="AH114" s="68"/>
      <c r="AI114" s="68"/>
      <c r="AJ114" s="68"/>
      <c r="AK114" s="68"/>
      <c r="AL114" s="68"/>
      <c r="AM114" s="68"/>
      <c r="AN114" s="68"/>
      <c r="AO114" s="68"/>
      <c r="AP114" s="68"/>
      <c r="AQ114" s="68"/>
      <c r="AR114" s="68"/>
      <c r="AS114" s="68"/>
      <c r="AT114" s="68"/>
      <c r="AU114" s="68"/>
      <c r="AV114" s="68"/>
      <c r="AW114" s="68"/>
      <c r="AX114" s="68"/>
      <c r="AY114" s="68"/>
      <c r="AZ114" s="68"/>
      <c r="BA114" s="68"/>
      <c r="BB114" s="68"/>
      <c r="BC114" s="68"/>
      <c r="BD114" s="68"/>
      <c r="BE114" s="68"/>
    </row>
    <row r="115" spans="26:57" ht="30" customHeight="1" x14ac:dyDescent="0.25">
      <c r="Z115" s="68"/>
      <c r="AA115" s="68"/>
      <c r="AB115" s="68"/>
      <c r="AC115" s="68"/>
      <c r="AD115" s="68"/>
      <c r="AE115" s="68"/>
      <c r="AF115" s="68"/>
      <c r="AG115" s="68"/>
      <c r="AH115" s="68"/>
      <c r="AI115" s="68"/>
      <c r="AJ115" s="68"/>
      <c r="AK115" s="68"/>
      <c r="AL115" s="68"/>
      <c r="AM115" s="68"/>
      <c r="AN115" s="68"/>
      <c r="AO115" s="68"/>
      <c r="AP115" s="68"/>
      <c r="AQ115" s="68"/>
      <c r="AR115" s="68"/>
      <c r="AS115" s="68"/>
      <c r="AT115" s="68"/>
      <c r="AU115" s="68"/>
      <c r="AV115" s="68"/>
      <c r="AW115" s="68"/>
      <c r="AX115" s="68"/>
      <c r="AY115" s="68"/>
      <c r="AZ115" s="68"/>
      <c r="BA115" s="68"/>
      <c r="BB115" s="68"/>
      <c r="BC115" s="68"/>
      <c r="BD115" s="68"/>
      <c r="BE115" s="68"/>
    </row>
    <row r="116" spans="26:57" ht="30" customHeight="1" x14ac:dyDescent="0.25">
      <c r="Z116" s="68"/>
      <c r="AA116" s="68"/>
      <c r="AB116" s="68"/>
      <c r="AC116" s="68"/>
      <c r="AD116" s="68"/>
      <c r="AE116" s="68"/>
      <c r="AF116" s="68"/>
      <c r="AG116" s="68"/>
      <c r="AH116" s="68"/>
      <c r="AI116" s="68"/>
      <c r="AJ116" s="68"/>
      <c r="AK116" s="68"/>
      <c r="AL116" s="68"/>
      <c r="AM116" s="68"/>
      <c r="AN116" s="68"/>
      <c r="AO116" s="68"/>
      <c r="AP116" s="68"/>
      <c r="AQ116" s="68"/>
      <c r="AR116" s="68"/>
      <c r="AS116" s="68"/>
      <c r="AT116" s="68"/>
      <c r="AU116" s="68"/>
      <c r="AV116" s="68"/>
      <c r="AW116" s="68"/>
      <c r="AX116" s="68"/>
      <c r="AY116" s="68"/>
      <c r="AZ116" s="68"/>
      <c r="BA116" s="68"/>
      <c r="BB116" s="68"/>
      <c r="BC116" s="68"/>
      <c r="BD116" s="68"/>
      <c r="BE116" s="68"/>
    </row>
    <row r="117" spans="26:57" ht="30" customHeight="1" x14ac:dyDescent="0.25">
      <c r="Z117" s="68"/>
      <c r="AA117" s="68"/>
      <c r="AB117" s="68"/>
      <c r="AC117" s="68"/>
      <c r="AD117" s="68"/>
      <c r="AE117" s="68"/>
      <c r="AF117" s="68"/>
      <c r="AG117" s="68"/>
      <c r="AH117" s="68"/>
      <c r="AI117" s="68"/>
      <c r="AJ117" s="68"/>
      <c r="AK117" s="68"/>
      <c r="AL117" s="68"/>
      <c r="AM117" s="68"/>
      <c r="AN117" s="68"/>
      <c r="AO117" s="68"/>
      <c r="AP117" s="68"/>
      <c r="AQ117" s="68"/>
      <c r="AR117" s="68"/>
      <c r="AS117" s="68"/>
      <c r="AT117" s="68"/>
      <c r="AU117" s="68"/>
      <c r="AV117" s="68"/>
      <c r="AW117" s="68"/>
      <c r="AX117" s="68"/>
      <c r="AY117" s="68"/>
      <c r="AZ117" s="68"/>
      <c r="BA117" s="68"/>
      <c r="BB117" s="68"/>
      <c r="BC117" s="68"/>
      <c r="BD117" s="68"/>
      <c r="BE117" s="68"/>
    </row>
    <row r="118" spans="26:57" ht="30" customHeight="1" x14ac:dyDescent="0.25">
      <c r="Z118" s="68"/>
      <c r="AA118" s="68"/>
      <c r="AB118" s="68"/>
      <c r="AC118" s="68"/>
      <c r="AD118" s="68"/>
      <c r="AE118" s="68"/>
      <c r="AF118" s="68"/>
      <c r="AG118" s="68"/>
      <c r="AH118" s="68"/>
      <c r="AI118" s="68"/>
      <c r="AJ118" s="68"/>
      <c r="AK118" s="68"/>
      <c r="AL118" s="68"/>
      <c r="AM118" s="68"/>
      <c r="AN118" s="68"/>
      <c r="AO118" s="68"/>
      <c r="AP118" s="68"/>
      <c r="AQ118" s="68"/>
      <c r="AR118" s="68"/>
      <c r="AS118" s="68"/>
      <c r="AT118" s="68"/>
      <c r="AU118" s="68"/>
      <c r="AV118" s="68"/>
      <c r="AW118" s="68"/>
      <c r="AX118" s="68"/>
      <c r="AY118" s="68"/>
      <c r="AZ118" s="68"/>
      <c r="BA118" s="68"/>
      <c r="BB118" s="68"/>
      <c r="BC118" s="68"/>
      <c r="BD118" s="68"/>
      <c r="BE118" s="68"/>
    </row>
    <row r="119" spans="26:57" ht="30" customHeight="1" x14ac:dyDescent="0.25">
      <c r="Z119" s="68"/>
      <c r="AA119" s="68"/>
      <c r="AB119" s="68"/>
      <c r="AC119" s="68"/>
      <c r="AD119" s="68"/>
      <c r="AE119" s="68"/>
      <c r="AF119" s="68"/>
      <c r="AG119" s="68"/>
      <c r="AH119" s="68"/>
      <c r="AI119" s="68"/>
      <c r="AJ119" s="68"/>
      <c r="AK119" s="68"/>
      <c r="AL119" s="68"/>
      <c r="AM119" s="68"/>
      <c r="AN119" s="68"/>
      <c r="AO119" s="68"/>
      <c r="AP119" s="68"/>
      <c r="AQ119" s="68"/>
      <c r="AR119" s="68"/>
      <c r="AS119" s="68"/>
      <c r="AT119" s="68"/>
      <c r="AU119" s="68"/>
      <c r="AV119" s="68"/>
      <c r="AW119" s="68"/>
      <c r="AX119" s="68"/>
      <c r="AY119" s="68"/>
      <c r="AZ119" s="68"/>
      <c r="BA119" s="68"/>
      <c r="BB119" s="68"/>
      <c r="BC119" s="68"/>
      <c r="BD119" s="68"/>
      <c r="BE119" s="68"/>
    </row>
    <row r="120" spans="26:57" ht="30" customHeight="1" x14ac:dyDescent="0.25">
      <c r="Z120" s="68"/>
      <c r="AA120" s="68"/>
      <c r="AB120" s="68"/>
      <c r="AC120" s="68"/>
      <c r="AD120" s="68"/>
      <c r="AE120" s="68"/>
      <c r="AF120" s="68"/>
      <c r="AG120" s="68"/>
      <c r="AH120" s="68"/>
      <c r="AI120" s="68"/>
      <c r="AJ120" s="68"/>
      <c r="AK120" s="68"/>
      <c r="AL120" s="68"/>
      <c r="AM120" s="68"/>
      <c r="AN120" s="68"/>
      <c r="AO120" s="68"/>
      <c r="AP120" s="68"/>
      <c r="AQ120" s="68"/>
      <c r="AR120" s="68"/>
      <c r="AS120" s="68"/>
      <c r="AT120" s="68"/>
      <c r="AU120" s="68"/>
      <c r="AV120" s="68"/>
      <c r="AW120" s="68"/>
      <c r="AX120" s="68"/>
      <c r="AY120" s="68"/>
      <c r="AZ120" s="68"/>
      <c r="BA120" s="68"/>
      <c r="BB120" s="68"/>
      <c r="BC120" s="68"/>
      <c r="BD120" s="68"/>
      <c r="BE120" s="68"/>
    </row>
    <row r="121" spans="26:57" ht="30" customHeight="1" x14ac:dyDescent="0.25">
      <c r="Z121" s="68"/>
      <c r="AA121" s="68"/>
      <c r="AB121" s="68"/>
      <c r="AC121" s="68"/>
      <c r="AD121" s="68"/>
      <c r="AE121" s="68"/>
      <c r="AF121" s="68"/>
      <c r="AG121" s="68"/>
      <c r="AH121" s="68"/>
      <c r="AI121" s="68"/>
      <c r="AJ121" s="68"/>
      <c r="AK121" s="68"/>
      <c r="AL121" s="68"/>
      <c r="AM121" s="68"/>
      <c r="AN121" s="68"/>
      <c r="AO121" s="68"/>
      <c r="AP121" s="68"/>
      <c r="AQ121" s="68"/>
      <c r="AR121" s="68"/>
      <c r="AS121" s="68"/>
      <c r="AT121" s="68"/>
      <c r="AU121" s="68"/>
      <c r="AV121" s="68"/>
      <c r="AW121" s="68"/>
      <c r="AX121" s="68"/>
      <c r="AY121" s="68"/>
      <c r="AZ121" s="68"/>
      <c r="BA121" s="68"/>
      <c r="BB121" s="68"/>
      <c r="BC121" s="68"/>
      <c r="BD121" s="68"/>
      <c r="BE121" s="68"/>
    </row>
    <row r="122" spans="26:57" ht="30" customHeight="1" x14ac:dyDescent="0.25">
      <c r="Z122" s="68"/>
      <c r="AA122" s="68"/>
      <c r="AB122" s="68"/>
      <c r="AC122" s="68"/>
      <c r="AD122" s="68"/>
      <c r="AE122" s="68"/>
      <c r="AF122" s="68"/>
      <c r="AG122" s="68"/>
      <c r="AH122" s="68"/>
      <c r="AI122" s="68"/>
      <c r="AJ122" s="68"/>
      <c r="AK122" s="68"/>
      <c r="AL122" s="68"/>
      <c r="AM122" s="68"/>
      <c r="AN122" s="68"/>
      <c r="AO122" s="68"/>
      <c r="AP122" s="68"/>
      <c r="AQ122" s="68"/>
      <c r="AR122" s="68"/>
      <c r="AS122" s="68"/>
      <c r="AT122" s="68"/>
      <c r="AU122" s="68"/>
      <c r="AV122" s="68"/>
      <c r="AW122" s="68"/>
      <c r="AX122" s="68"/>
      <c r="AY122" s="68"/>
      <c r="AZ122" s="68"/>
      <c r="BA122" s="68"/>
      <c r="BB122" s="68"/>
      <c r="BC122" s="68"/>
      <c r="BD122" s="68"/>
      <c r="BE122" s="68"/>
    </row>
    <row r="123" spans="26:57" ht="30" customHeight="1" x14ac:dyDescent="0.25">
      <c r="Z123" s="68"/>
      <c r="AA123" s="68"/>
      <c r="AB123" s="68"/>
      <c r="AC123" s="68"/>
      <c r="AD123" s="68"/>
      <c r="AE123" s="68"/>
      <c r="AF123" s="68"/>
      <c r="AG123" s="68"/>
      <c r="AH123" s="68"/>
      <c r="AI123" s="68"/>
      <c r="AJ123" s="68"/>
      <c r="AK123" s="68"/>
      <c r="AL123" s="68"/>
      <c r="AM123" s="68"/>
      <c r="AN123" s="68"/>
      <c r="AO123" s="68"/>
      <c r="AP123" s="68"/>
      <c r="AQ123" s="68"/>
      <c r="AR123" s="68"/>
      <c r="AS123" s="68"/>
      <c r="AT123" s="68"/>
      <c r="AU123" s="68"/>
      <c r="AV123" s="68"/>
      <c r="AW123" s="68"/>
      <c r="AX123" s="68"/>
      <c r="AY123" s="68"/>
      <c r="AZ123" s="68"/>
      <c r="BA123" s="68"/>
      <c r="BB123" s="68"/>
      <c r="BC123" s="68"/>
      <c r="BD123" s="68"/>
      <c r="BE123" s="68"/>
    </row>
    <row r="124" spans="26:57" ht="30" customHeight="1" x14ac:dyDescent="0.25">
      <c r="Z124" s="68"/>
      <c r="AA124" s="68"/>
      <c r="AB124" s="68"/>
      <c r="AC124" s="68"/>
      <c r="AD124" s="68"/>
      <c r="AE124" s="68"/>
      <c r="AF124" s="68"/>
      <c r="AG124" s="68"/>
      <c r="AH124" s="68"/>
      <c r="AI124" s="68"/>
      <c r="AJ124" s="68"/>
      <c r="AK124" s="68"/>
      <c r="AL124" s="68"/>
      <c r="AM124" s="68"/>
      <c r="AN124" s="68"/>
      <c r="AO124" s="68"/>
      <c r="AP124" s="68"/>
      <c r="AQ124" s="68"/>
      <c r="AR124" s="68"/>
      <c r="AS124" s="68"/>
      <c r="AT124" s="68"/>
      <c r="AU124" s="68"/>
      <c r="AV124" s="68"/>
      <c r="AW124" s="68"/>
      <c r="AX124" s="68"/>
      <c r="AY124" s="68"/>
      <c r="AZ124" s="68"/>
      <c r="BA124" s="68"/>
      <c r="BB124" s="68"/>
      <c r="BC124" s="68"/>
      <c r="BD124" s="68"/>
      <c r="BE124" s="68"/>
    </row>
    <row r="125" spans="26:57" ht="30" customHeight="1" x14ac:dyDescent="0.25">
      <c r="Z125" s="68"/>
      <c r="AA125" s="68"/>
      <c r="AB125" s="68"/>
      <c r="AC125" s="68"/>
      <c r="AD125" s="68"/>
      <c r="AE125" s="68"/>
      <c r="AF125" s="68"/>
      <c r="AG125" s="68"/>
      <c r="AH125" s="68"/>
      <c r="AI125" s="68"/>
      <c r="AJ125" s="68"/>
      <c r="AK125" s="68"/>
      <c r="AL125" s="68"/>
      <c r="AM125" s="68"/>
      <c r="AN125" s="68"/>
      <c r="AO125" s="68"/>
      <c r="AP125" s="68"/>
      <c r="AQ125" s="68"/>
      <c r="AR125" s="68"/>
      <c r="AS125" s="68"/>
      <c r="AT125" s="68"/>
      <c r="AU125" s="68"/>
      <c r="AV125" s="68"/>
      <c r="AW125" s="68"/>
      <c r="AX125" s="68"/>
      <c r="AY125" s="68"/>
      <c r="AZ125" s="68"/>
      <c r="BA125" s="68"/>
      <c r="BB125" s="68"/>
      <c r="BC125" s="68"/>
      <c r="BD125" s="68"/>
      <c r="BE125" s="68"/>
    </row>
    <row r="126" spans="26:57" ht="30" customHeight="1" x14ac:dyDescent="0.25">
      <c r="Z126" s="68"/>
      <c r="AA126" s="68"/>
      <c r="AB126" s="68"/>
      <c r="AC126" s="68"/>
      <c r="AD126" s="68"/>
      <c r="AE126" s="68"/>
      <c r="AF126" s="68"/>
      <c r="AG126" s="68"/>
      <c r="AH126" s="68"/>
      <c r="AI126" s="68"/>
      <c r="AJ126" s="68"/>
      <c r="AK126" s="68"/>
      <c r="AL126" s="68"/>
      <c r="AM126" s="68"/>
      <c r="AN126" s="68"/>
      <c r="AO126" s="68"/>
      <c r="AP126" s="68"/>
      <c r="AQ126" s="68"/>
      <c r="AR126" s="68"/>
      <c r="AS126" s="68"/>
      <c r="AT126" s="68"/>
      <c r="AU126" s="68"/>
      <c r="AV126" s="68"/>
      <c r="AW126" s="68"/>
      <c r="AX126" s="68"/>
      <c r="AY126" s="68"/>
      <c r="AZ126" s="68"/>
      <c r="BA126" s="68"/>
      <c r="BB126" s="68"/>
      <c r="BC126" s="68"/>
      <c r="BD126" s="68"/>
      <c r="BE126" s="68"/>
    </row>
    <row r="127" spans="26:57" ht="30" customHeight="1" x14ac:dyDescent="0.25">
      <c r="Z127" s="68"/>
      <c r="AA127" s="68"/>
      <c r="AB127" s="68"/>
      <c r="AC127" s="68"/>
      <c r="AD127" s="68"/>
      <c r="AE127" s="68"/>
      <c r="AF127" s="68"/>
      <c r="AG127" s="68"/>
      <c r="AH127" s="68"/>
      <c r="AI127" s="68"/>
      <c r="AJ127" s="68"/>
      <c r="AK127" s="68"/>
      <c r="AL127" s="68"/>
      <c r="AM127" s="68"/>
      <c r="AN127" s="68"/>
      <c r="AO127" s="68"/>
      <c r="AP127" s="68"/>
      <c r="AQ127" s="68"/>
      <c r="AR127" s="68"/>
      <c r="AS127" s="68"/>
      <c r="AT127" s="68"/>
      <c r="AU127" s="68"/>
      <c r="AV127" s="68"/>
      <c r="AW127" s="68"/>
      <c r="AX127" s="68"/>
      <c r="AY127" s="68"/>
      <c r="AZ127" s="68"/>
      <c r="BA127" s="68"/>
      <c r="BB127" s="68"/>
      <c r="BC127" s="68"/>
      <c r="BD127" s="68"/>
      <c r="BE127" s="68"/>
    </row>
    <row r="128" spans="26:57" ht="30" customHeight="1" x14ac:dyDescent="0.25">
      <c r="Z128" s="68"/>
      <c r="AA128" s="68"/>
      <c r="AB128" s="68"/>
      <c r="AC128" s="68"/>
      <c r="AD128" s="68"/>
      <c r="AE128" s="68"/>
      <c r="AF128" s="68"/>
      <c r="AG128" s="68"/>
      <c r="AH128" s="68"/>
      <c r="AI128" s="68"/>
      <c r="AJ128" s="68"/>
      <c r="AK128" s="68"/>
      <c r="AL128" s="68"/>
      <c r="AM128" s="68"/>
      <c r="AN128" s="68"/>
      <c r="AO128" s="68"/>
      <c r="AP128" s="68"/>
      <c r="AQ128" s="68"/>
      <c r="AR128" s="68"/>
      <c r="AS128" s="68"/>
      <c r="AT128" s="68"/>
      <c r="AU128" s="68"/>
      <c r="AV128" s="68"/>
      <c r="AW128" s="68"/>
      <c r="AX128" s="68"/>
      <c r="AY128" s="68"/>
      <c r="AZ128" s="68"/>
      <c r="BA128" s="68"/>
      <c r="BB128" s="68"/>
      <c r="BC128" s="68"/>
      <c r="BD128" s="68"/>
      <c r="BE128" s="68"/>
    </row>
    <row r="129" spans="26:57" ht="30" customHeight="1" x14ac:dyDescent="0.25">
      <c r="Z129" s="68"/>
      <c r="AA129" s="68"/>
      <c r="AB129" s="68"/>
      <c r="AC129" s="68"/>
      <c r="AD129" s="68"/>
      <c r="AE129" s="68"/>
      <c r="AF129" s="68"/>
      <c r="AG129" s="68"/>
      <c r="AH129" s="68"/>
      <c r="AI129" s="68"/>
      <c r="AJ129" s="68"/>
      <c r="AK129" s="68"/>
      <c r="AL129" s="68"/>
      <c r="AM129" s="68"/>
      <c r="AN129" s="68"/>
      <c r="AO129" s="68"/>
      <c r="AP129" s="68"/>
      <c r="AQ129" s="68"/>
      <c r="AR129" s="68"/>
      <c r="AS129" s="68"/>
      <c r="AT129" s="68"/>
      <c r="AU129" s="68"/>
      <c r="AV129" s="68"/>
      <c r="AW129" s="68"/>
      <c r="AX129" s="68"/>
      <c r="AY129" s="68"/>
      <c r="AZ129" s="68"/>
      <c r="BA129" s="68"/>
      <c r="BB129" s="68"/>
      <c r="BC129" s="68"/>
      <c r="BD129" s="68"/>
      <c r="BE129" s="68"/>
    </row>
    <row r="130" spans="26:57" ht="30" customHeight="1" x14ac:dyDescent="0.25">
      <c r="Z130" s="68"/>
      <c r="AA130" s="68"/>
      <c r="AB130" s="68"/>
      <c r="AC130" s="68"/>
      <c r="AD130" s="68"/>
      <c r="AE130" s="68"/>
      <c r="AF130" s="68"/>
      <c r="AG130" s="68"/>
      <c r="AH130" s="68"/>
      <c r="AI130" s="68"/>
      <c r="AJ130" s="68"/>
      <c r="AK130" s="68"/>
      <c r="AL130" s="68"/>
      <c r="AM130" s="68"/>
      <c r="AN130" s="68"/>
      <c r="AO130" s="68"/>
      <c r="AP130" s="68"/>
      <c r="AQ130" s="68"/>
      <c r="AR130" s="68"/>
      <c r="AS130" s="68"/>
      <c r="AT130" s="68"/>
      <c r="AU130" s="68"/>
      <c r="AV130" s="68"/>
      <c r="AW130" s="68"/>
      <c r="AX130" s="68"/>
      <c r="AY130" s="68"/>
      <c r="AZ130" s="68"/>
      <c r="BA130" s="68"/>
      <c r="BB130" s="68"/>
      <c r="BC130" s="68"/>
      <c r="BD130" s="68"/>
      <c r="BE130" s="68"/>
    </row>
    <row r="131" spans="26:57" ht="30" customHeight="1" x14ac:dyDescent="0.25">
      <c r="Z131" s="68"/>
      <c r="AA131" s="68"/>
      <c r="AB131" s="68"/>
      <c r="AC131" s="68"/>
      <c r="AD131" s="68"/>
      <c r="AE131" s="68"/>
      <c r="AF131" s="68"/>
      <c r="AG131" s="68"/>
      <c r="AH131" s="68"/>
      <c r="AI131" s="68"/>
      <c r="AJ131" s="68"/>
      <c r="AK131" s="68"/>
      <c r="AL131" s="68"/>
      <c r="AM131" s="68"/>
      <c r="AN131" s="68"/>
      <c r="AO131" s="68"/>
      <c r="AP131" s="68"/>
      <c r="AQ131" s="68"/>
      <c r="AR131" s="68"/>
      <c r="AS131" s="68"/>
      <c r="AT131" s="68"/>
      <c r="AU131" s="68"/>
      <c r="AV131" s="68"/>
      <c r="AW131" s="68"/>
      <c r="AX131" s="68"/>
      <c r="AY131" s="68"/>
      <c r="AZ131" s="68"/>
      <c r="BA131" s="68"/>
      <c r="BB131" s="68"/>
      <c r="BC131" s="68"/>
      <c r="BD131" s="68"/>
      <c r="BE131" s="68"/>
    </row>
    <row r="132" spans="26:57" ht="30" customHeight="1" x14ac:dyDescent="0.25">
      <c r="Z132" s="68"/>
      <c r="AA132" s="68"/>
      <c r="AB132" s="68"/>
      <c r="AC132" s="68"/>
      <c r="AD132" s="68"/>
      <c r="AE132" s="68"/>
      <c r="AF132" s="68"/>
      <c r="AG132" s="68"/>
      <c r="AH132" s="68"/>
      <c r="AI132" s="68"/>
      <c r="AJ132" s="68"/>
      <c r="AK132" s="68"/>
      <c r="AL132" s="68"/>
      <c r="AM132" s="68"/>
      <c r="AN132" s="68"/>
      <c r="AO132" s="68"/>
      <c r="AP132" s="68"/>
      <c r="AQ132" s="68"/>
      <c r="AR132" s="68"/>
      <c r="AS132" s="68"/>
      <c r="AT132" s="68"/>
      <c r="AU132" s="68"/>
      <c r="AV132" s="68"/>
      <c r="AW132" s="68"/>
      <c r="AX132" s="68"/>
      <c r="AY132" s="68"/>
      <c r="AZ132" s="68"/>
      <c r="BA132" s="68"/>
      <c r="BB132" s="68"/>
      <c r="BC132" s="68"/>
      <c r="BD132" s="68"/>
      <c r="BE132" s="68"/>
    </row>
    <row r="133" spans="26:57" ht="30" customHeight="1" x14ac:dyDescent="0.25">
      <c r="Z133" s="68"/>
      <c r="AA133" s="68"/>
      <c r="AB133" s="68"/>
      <c r="AC133" s="68"/>
      <c r="AD133" s="68"/>
      <c r="AE133" s="68"/>
      <c r="AF133" s="68"/>
      <c r="AG133" s="68"/>
      <c r="AH133" s="68"/>
      <c r="AI133" s="68"/>
      <c r="AJ133" s="68"/>
      <c r="AK133" s="68"/>
      <c r="AL133" s="68"/>
      <c r="AM133" s="68"/>
      <c r="AN133" s="68"/>
      <c r="AO133" s="68"/>
      <c r="AP133" s="68"/>
      <c r="AQ133" s="68"/>
      <c r="AR133" s="68"/>
      <c r="AS133" s="68"/>
      <c r="AT133" s="68"/>
      <c r="AU133" s="68"/>
      <c r="AV133" s="68"/>
      <c r="AW133" s="68"/>
      <c r="AX133" s="68"/>
      <c r="AY133" s="68"/>
      <c r="AZ133" s="68"/>
      <c r="BA133" s="68"/>
      <c r="BB133" s="68"/>
      <c r="BC133" s="68"/>
      <c r="BD133" s="68"/>
      <c r="BE133" s="68"/>
    </row>
    <row r="134" spans="26:57" ht="30" customHeight="1" x14ac:dyDescent="0.25">
      <c r="Z134" s="68"/>
      <c r="AA134" s="68"/>
      <c r="AB134" s="68"/>
      <c r="AC134" s="68"/>
      <c r="AD134" s="68"/>
      <c r="AE134" s="68"/>
      <c r="AF134" s="68"/>
      <c r="AG134" s="68"/>
      <c r="AH134" s="68"/>
      <c r="AI134" s="68"/>
      <c r="AJ134" s="68"/>
      <c r="AK134" s="68"/>
      <c r="AL134" s="68"/>
      <c r="AM134" s="68"/>
      <c r="AN134" s="68"/>
      <c r="AO134" s="68"/>
      <c r="AP134" s="68"/>
      <c r="AQ134" s="68"/>
      <c r="AR134" s="68"/>
      <c r="AS134" s="68"/>
      <c r="AT134" s="68"/>
      <c r="AU134" s="68"/>
      <c r="AV134" s="68"/>
      <c r="AW134" s="68"/>
      <c r="AX134" s="68"/>
      <c r="AY134" s="68"/>
      <c r="AZ134" s="68"/>
      <c r="BA134" s="68"/>
      <c r="BB134" s="68"/>
      <c r="BC134" s="68"/>
      <c r="BD134" s="68"/>
      <c r="BE134" s="68"/>
    </row>
    <row r="135" spans="26:57" ht="30" customHeight="1" x14ac:dyDescent="0.25">
      <c r="Z135" s="68"/>
      <c r="AA135" s="68"/>
      <c r="AB135" s="68"/>
      <c r="AC135" s="68"/>
      <c r="AD135" s="68"/>
      <c r="AE135" s="68"/>
      <c r="AF135" s="68"/>
      <c r="AG135" s="68"/>
      <c r="AH135" s="68"/>
      <c r="AI135" s="68"/>
      <c r="AJ135" s="68"/>
      <c r="AK135" s="68"/>
      <c r="AL135" s="68"/>
      <c r="AM135" s="68"/>
      <c r="AN135" s="68"/>
      <c r="AO135" s="68"/>
      <c r="AP135" s="68"/>
      <c r="AQ135" s="68"/>
      <c r="AR135" s="68"/>
      <c r="AS135" s="68"/>
      <c r="AT135" s="68"/>
      <c r="AU135" s="68"/>
      <c r="AV135" s="68"/>
      <c r="AW135" s="68"/>
      <c r="AX135" s="68"/>
      <c r="AY135" s="68"/>
      <c r="AZ135" s="68"/>
      <c r="BA135" s="68"/>
      <c r="BB135" s="68"/>
      <c r="BC135" s="68"/>
      <c r="BD135" s="68"/>
      <c r="BE135" s="68"/>
    </row>
    <row r="136" spans="26:57" ht="30" customHeight="1" x14ac:dyDescent="0.25">
      <c r="Z136" s="68"/>
      <c r="AA136" s="68"/>
      <c r="AB136" s="68"/>
      <c r="AC136" s="68"/>
      <c r="AD136" s="68"/>
      <c r="AE136" s="68"/>
      <c r="AF136" s="68"/>
      <c r="AG136" s="68"/>
      <c r="AH136" s="68"/>
      <c r="AI136" s="68"/>
      <c r="AJ136" s="68"/>
      <c r="AK136" s="68"/>
      <c r="AL136" s="68"/>
      <c r="AM136" s="68"/>
      <c r="AN136" s="68"/>
      <c r="AO136" s="68"/>
      <c r="AP136" s="68"/>
      <c r="AQ136" s="68"/>
      <c r="AR136" s="68"/>
      <c r="AS136" s="68"/>
      <c r="AT136" s="68"/>
      <c r="AU136" s="68"/>
      <c r="AV136" s="68"/>
      <c r="AW136" s="68"/>
      <c r="AX136" s="68"/>
      <c r="AY136" s="68"/>
      <c r="AZ136" s="68"/>
      <c r="BA136" s="68"/>
      <c r="BB136" s="68"/>
      <c r="BC136" s="68"/>
      <c r="BD136" s="68"/>
      <c r="BE136" s="68"/>
    </row>
    <row r="137" spans="26:57" ht="30" customHeight="1" x14ac:dyDescent="0.25">
      <c r="Z137" s="68"/>
      <c r="AA137" s="68"/>
      <c r="AB137" s="68"/>
      <c r="AC137" s="68"/>
      <c r="AD137" s="68"/>
      <c r="AE137" s="68"/>
      <c r="AF137" s="68"/>
      <c r="AG137" s="68"/>
      <c r="AH137" s="68"/>
      <c r="AI137" s="68"/>
      <c r="AJ137" s="68"/>
      <c r="AK137" s="68"/>
      <c r="AL137" s="68"/>
      <c r="AM137" s="68"/>
      <c r="AN137" s="68"/>
      <c r="AO137" s="68"/>
      <c r="AP137" s="68"/>
      <c r="AQ137" s="68"/>
      <c r="AR137" s="68"/>
      <c r="AS137" s="68"/>
      <c r="AT137" s="68"/>
      <c r="AU137" s="68"/>
      <c r="AV137" s="68"/>
      <c r="AW137" s="68"/>
      <c r="AX137" s="68"/>
      <c r="AY137" s="68"/>
      <c r="AZ137" s="68"/>
      <c r="BA137" s="68"/>
      <c r="BB137" s="68"/>
      <c r="BC137" s="68"/>
      <c r="BD137" s="68"/>
      <c r="BE137" s="68"/>
    </row>
    <row r="138" spans="26:57" ht="30" customHeight="1" x14ac:dyDescent="0.25">
      <c r="Z138" s="68"/>
      <c r="AA138" s="68"/>
      <c r="AB138" s="68"/>
      <c r="AC138" s="68"/>
      <c r="AD138" s="68"/>
      <c r="AE138" s="68"/>
      <c r="AF138" s="68"/>
      <c r="AG138" s="68"/>
      <c r="AH138" s="68"/>
      <c r="AI138" s="68"/>
      <c r="AJ138" s="68"/>
      <c r="AK138" s="68"/>
      <c r="AL138" s="68"/>
      <c r="AM138" s="68"/>
      <c r="AN138" s="68"/>
      <c r="AO138" s="68"/>
      <c r="AP138" s="68"/>
      <c r="AQ138" s="68"/>
      <c r="AR138" s="68"/>
      <c r="AS138" s="68"/>
      <c r="AT138" s="68"/>
      <c r="AU138" s="68"/>
      <c r="AV138" s="68"/>
      <c r="AW138" s="68"/>
      <c r="AX138" s="68"/>
      <c r="AY138" s="68"/>
      <c r="AZ138" s="68"/>
      <c r="BA138" s="68"/>
      <c r="BB138" s="68"/>
      <c r="BC138" s="68"/>
      <c r="BD138" s="68"/>
      <c r="BE138" s="68"/>
    </row>
    <row r="139" spans="26:57" ht="30" customHeight="1" x14ac:dyDescent="0.25">
      <c r="Z139" s="68"/>
      <c r="AA139" s="68"/>
      <c r="AB139" s="68"/>
      <c r="AC139" s="68"/>
      <c r="AD139" s="68"/>
      <c r="AE139" s="68"/>
      <c r="AF139" s="68"/>
      <c r="AG139" s="68"/>
      <c r="AH139" s="68"/>
      <c r="AI139" s="68"/>
      <c r="AJ139" s="68"/>
      <c r="AK139" s="68"/>
      <c r="AL139" s="68"/>
      <c r="AM139" s="68"/>
      <c r="AN139" s="68"/>
      <c r="AO139" s="68"/>
      <c r="AP139" s="68"/>
      <c r="AQ139" s="68"/>
      <c r="AR139" s="68"/>
      <c r="AS139" s="68"/>
      <c r="AT139" s="68"/>
      <c r="AU139" s="68"/>
      <c r="AV139" s="68"/>
      <c r="AW139" s="68"/>
      <c r="AX139" s="68"/>
      <c r="AY139" s="68"/>
      <c r="AZ139" s="68"/>
      <c r="BA139" s="68"/>
      <c r="BB139" s="68"/>
      <c r="BC139" s="68"/>
      <c r="BD139" s="68"/>
      <c r="BE139" s="68"/>
    </row>
    <row r="140" spans="26:57" ht="30" customHeight="1" x14ac:dyDescent="0.25">
      <c r="Z140" s="68"/>
      <c r="AA140" s="68"/>
      <c r="AB140" s="68"/>
      <c r="AC140" s="68"/>
      <c r="AD140" s="68"/>
      <c r="AE140" s="68"/>
      <c r="AF140" s="68"/>
      <c r="AG140" s="68"/>
      <c r="AH140" s="68"/>
      <c r="AI140" s="68"/>
      <c r="AJ140" s="68"/>
      <c r="AK140" s="68"/>
      <c r="AL140" s="68"/>
      <c r="AM140" s="68"/>
      <c r="AN140" s="68"/>
      <c r="AO140" s="68"/>
      <c r="AP140" s="68"/>
      <c r="AQ140" s="68"/>
      <c r="AR140" s="68"/>
      <c r="AS140" s="68"/>
      <c r="AT140" s="68"/>
      <c r="AU140" s="68"/>
      <c r="AV140" s="68"/>
      <c r="AW140" s="68"/>
      <c r="AX140" s="68"/>
      <c r="AY140" s="68"/>
      <c r="AZ140" s="68"/>
      <c r="BA140" s="68"/>
      <c r="BB140" s="68"/>
      <c r="BC140" s="68"/>
      <c r="BD140" s="68"/>
      <c r="BE140" s="68"/>
    </row>
    <row r="141" spans="26:57" ht="30" customHeight="1" x14ac:dyDescent="0.25">
      <c r="Z141" s="68"/>
      <c r="AA141" s="68"/>
      <c r="AB141" s="68"/>
      <c r="AC141" s="68"/>
      <c r="AD141" s="68"/>
      <c r="AE141" s="68"/>
      <c r="AF141" s="68"/>
      <c r="AG141" s="68"/>
      <c r="AH141" s="68"/>
      <c r="AI141" s="68"/>
      <c r="AJ141" s="68"/>
      <c r="AK141" s="68"/>
      <c r="AL141" s="68"/>
      <c r="AM141" s="68"/>
      <c r="AN141" s="68"/>
      <c r="AO141" s="68"/>
      <c r="AP141" s="68"/>
      <c r="AQ141" s="68"/>
      <c r="AR141" s="68"/>
      <c r="AS141" s="68"/>
      <c r="AT141" s="68"/>
      <c r="AU141" s="68"/>
      <c r="AV141" s="68"/>
      <c r="AW141" s="68"/>
      <c r="AX141" s="68"/>
      <c r="AY141" s="68"/>
      <c r="AZ141" s="68"/>
      <c r="BA141" s="68"/>
      <c r="BB141" s="68"/>
      <c r="BC141" s="68"/>
      <c r="BD141" s="68"/>
      <c r="BE141" s="68"/>
    </row>
    <row r="142" spans="26:57" ht="30" customHeight="1" x14ac:dyDescent="0.25">
      <c r="Z142" s="68"/>
      <c r="AA142" s="68"/>
      <c r="AB142" s="68"/>
      <c r="AC142" s="68"/>
      <c r="AD142" s="68"/>
      <c r="AE142" s="68"/>
      <c r="AF142" s="68"/>
      <c r="AG142" s="68"/>
      <c r="AH142" s="68"/>
      <c r="AI142" s="68"/>
      <c r="AJ142" s="68"/>
      <c r="AK142" s="68"/>
      <c r="AL142" s="68"/>
      <c r="AM142" s="68"/>
      <c r="AN142" s="68"/>
      <c r="AO142" s="68"/>
      <c r="AP142" s="68"/>
      <c r="AQ142" s="68"/>
      <c r="AR142" s="68"/>
      <c r="AS142" s="68"/>
      <c r="AT142" s="68"/>
      <c r="AU142" s="68"/>
      <c r="AV142" s="68"/>
      <c r="AW142" s="68"/>
      <c r="AX142" s="68"/>
      <c r="AY142" s="68"/>
      <c r="AZ142" s="68"/>
      <c r="BA142" s="68"/>
      <c r="BB142" s="68"/>
      <c r="BC142" s="68"/>
      <c r="BD142" s="68"/>
      <c r="BE142" s="68"/>
    </row>
    <row r="143" spans="26:57" ht="30" customHeight="1" x14ac:dyDescent="0.25">
      <c r="Z143" s="68"/>
      <c r="AA143" s="68"/>
      <c r="AB143" s="68"/>
      <c r="AC143" s="68"/>
      <c r="AD143" s="68"/>
      <c r="AE143" s="68"/>
      <c r="AF143" s="68"/>
      <c r="AG143" s="68"/>
      <c r="AH143" s="68"/>
      <c r="AI143" s="68"/>
      <c r="AJ143" s="68"/>
      <c r="AK143" s="68"/>
      <c r="AL143" s="68"/>
      <c r="AM143" s="68"/>
      <c r="AN143" s="68"/>
      <c r="AO143" s="68"/>
      <c r="AP143" s="68"/>
      <c r="AQ143" s="68"/>
      <c r="AR143" s="68"/>
      <c r="AS143" s="68"/>
      <c r="AT143" s="68"/>
      <c r="AU143" s="68"/>
      <c r="AV143" s="68"/>
      <c r="AW143" s="68"/>
      <c r="AX143" s="68"/>
      <c r="AY143" s="68"/>
      <c r="AZ143" s="68"/>
      <c r="BA143" s="68"/>
      <c r="BB143" s="68"/>
      <c r="BC143" s="68"/>
      <c r="BD143" s="68"/>
      <c r="BE143" s="68"/>
    </row>
    <row r="144" spans="26:57" ht="30" customHeight="1" x14ac:dyDescent="0.25">
      <c r="Z144" s="68"/>
      <c r="AA144" s="68"/>
      <c r="AB144" s="68"/>
      <c r="AC144" s="68"/>
      <c r="AD144" s="68"/>
      <c r="AE144" s="68"/>
      <c r="AF144" s="68"/>
      <c r="AG144" s="68"/>
      <c r="AH144" s="68"/>
      <c r="AI144" s="68"/>
      <c r="AJ144" s="68"/>
      <c r="AK144" s="68"/>
      <c r="AL144" s="68"/>
      <c r="AM144" s="68"/>
      <c r="AN144" s="68"/>
      <c r="AO144" s="68"/>
      <c r="AP144" s="68"/>
      <c r="AQ144" s="68"/>
      <c r="AR144" s="68"/>
      <c r="AS144" s="68"/>
      <c r="AT144" s="68"/>
      <c r="AU144" s="68"/>
      <c r="AV144" s="68"/>
      <c r="AW144" s="68"/>
      <c r="AX144" s="68"/>
      <c r="AY144" s="68"/>
      <c r="AZ144" s="68"/>
      <c r="BA144" s="68"/>
      <c r="BB144" s="68"/>
      <c r="BC144" s="68"/>
      <c r="BD144" s="68"/>
      <c r="BE144" s="68"/>
    </row>
    <row r="145" spans="26:57" ht="30" customHeight="1" x14ac:dyDescent="0.25">
      <c r="Z145" s="68"/>
      <c r="AA145" s="68"/>
      <c r="AB145" s="68"/>
      <c r="AC145" s="68"/>
      <c r="AD145" s="68"/>
      <c r="AE145" s="68"/>
      <c r="AF145" s="68"/>
      <c r="AG145" s="68"/>
      <c r="AH145" s="68"/>
      <c r="AI145" s="68"/>
      <c r="AJ145" s="68"/>
      <c r="AK145" s="68"/>
      <c r="AL145" s="68"/>
      <c r="AM145" s="68"/>
      <c r="AN145" s="68"/>
      <c r="AO145" s="68"/>
      <c r="AP145" s="68"/>
      <c r="AQ145" s="68"/>
      <c r="AR145" s="68"/>
      <c r="AS145" s="68"/>
      <c r="AT145" s="68"/>
      <c r="AU145" s="68"/>
      <c r="AV145" s="68"/>
      <c r="AW145" s="68"/>
      <c r="AX145" s="68"/>
      <c r="AY145" s="68"/>
      <c r="AZ145" s="68"/>
      <c r="BA145" s="68"/>
      <c r="BB145" s="68"/>
      <c r="BC145" s="68"/>
      <c r="BD145" s="68"/>
      <c r="BE145" s="68"/>
    </row>
    <row r="146" spans="26:57" ht="30" customHeight="1" x14ac:dyDescent="0.25"/>
    <row r="147" spans="26:57" ht="30" customHeight="1" x14ac:dyDescent="0.25"/>
    <row r="148" spans="26:57" ht="30" customHeight="1" x14ac:dyDescent="0.25"/>
    <row r="149" spans="26:57" ht="30" customHeight="1" x14ac:dyDescent="0.25"/>
    <row r="150" spans="26:57" ht="30" customHeight="1" x14ac:dyDescent="0.25"/>
    <row r="151" spans="26:57" ht="30" customHeight="1" x14ac:dyDescent="0.25"/>
    <row r="152" spans="26:57" ht="30" customHeight="1" x14ac:dyDescent="0.25"/>
    <row r="153" spans="26:57" ht="30" customHeight="1" x14ac:dyDescent="0.25"/>
    <row r="154" spans="26:57" ht="30" customHeight="1" x14ac:dyDescent="0.25"/>
    <row r="155" spans="26:57" ht="30" customHeight="1" x14ac:dyDescent="0.25"/>
    <row r="156" spans="26:57" ht="30" customHeight="1" x14ac:dyDescent="0.25"/>
    <row r="157" spans="26:57" ht="30" customHeight="1" x14ac:dyDescent="0.25"/>
    <row r="158" spans="26:57" ht="30" customHeight="1" x14ac:dyDescent="0.25"/>
    <row r="159" spans="26:57" ht="30" customHeight="1" x14ac:dyDescent="0.25"/>
    <row r="160" spans="26:57" ht="30" customHeight="1" x14ac:dyDescent="0.25"/>
    <row r="161" ht="30" customHeight="1" x14ac:dyDescent="0.25"/>
    <row r="162" ht="30" customHeight="1" x14ac:dyDescent="0.25"/>
    <row r="163" ht="30" customHeight="1" x14ac:dyDescent="0.25"/>
    <row r="164" ht="30" customHeight="1" x14ac:dyDescent="0.25"/>
    <row r="165" ht="30" customHeight="1" x14ac:dyDescent="0.25"/>
    <row r="166" ht="30" customHeight="1" x14ac:dyDescent="0.25"/>
    <row r="167" ht="30" customHeight="1" x14ac:dyDescent="0.25"/>
    <row r="168" ht="30" customHeight="1" x14ac:dyDescent="0.25"/>
    <row r="169" ht="30" customHeight="1" x14ac:dyDescent="0.25"/>
    <row r="170" ht="30" customHeight="1" x14ac:dyDescent="0.25"/>
    <row r="171" ht="30" customHeight="1" x14ac:dyDescent="0.25"/>
    <row r="172" ht="30" customHeight="1" x14ac:dyDescent="0.25"/>
    <row r="173" ht="30" customHeight="1" x14ac:dyDescent="0.25"/>
    <row r="174" ht="30" customHeight="1" x14ac:dyDescent="0.25"/>
    <row r="175" ht="30" customHeight="1" x14ac:dyDescent="0.25"/>
    <row r="176" ht="30" customHeight="1" x14ac:dyDescent="0.25"/>
    <row r="177" ht="30" customHeight="1" x14ac:dyDescent="0.25"/>
    <row r="178" ht="30" customHeight="1" x14ac:dyDescent="0.25"/>
    <row r="179" ht="30" customHeight="1" x14ac:dyDescent="0.25"/>
    <row r="180" ht="30" customHeight="1" x14ac:dyDescent="0.25"/>
    <row r="181" ht="30" customHeight="1" x14ac:dyDescent="0.25"/>
    <row r="182" ht="30" customHeight="1" x14ac:dyDescent="0.25"/>
    <row r="183" ht="30" customHeight="1" x14ac:dyDescent="0.25"/>
    <row r="184" ht="30" customHeight="1" x14ac:dyDescent="0.25"/>
    <row r="185" ht="30" customHeight="1" x14ac:dyDescent="0.25"/>
    <row r="186" ht="30" customHeight="1" x14ac:dyDescent="0.25"/>
    <row r="187" ht="30" customHeight="1" x14ac:dyDescent="0.25"/>
    <row r="188" ht="30" customHeight="1" x14ac:dyDescent="0.25"/>
    <row r="189" ht="30" customHeight="1" x14ac:dyDescent="0.25"/>
    <row r="190" ht="30" customHeight="1" x14ac:dyDescent="0.25"/>
    <row r="191" ht="30" customHeight="1" x14ac:dyDescent="0.25"/>
    <row r="192" ht="30" customHeight="1" x14ac:dyDescent="0.25"/>
    <row r="193" ht="30" customHeight="1" x14ac:dyDescent="0.25"/>
    <row r="194" ht="30" customHeight="1" x14ac:dyDescent="0.25"/>
    <row r="195" ht="30" customHeight="1" x14ac:dyDescent="0.25"/>
    <row r="196" ht="30" customHeight="1" x14ac:dyDescent="0.25"/>
    <row r="197" ht="30" customHeight="1" x14ac:dyDescent="0.25"/>
    <row r="198" ht="30" customHeight="1" x14ac:dyDescent="0.25"/>
    <row r="199" ht="30" customHeight="1" x14ac:dyDescent="0.25"/>
    <row r="200" ht="30" customHeight="1" x14ac:dyDescent="0.25"/>
    <row r="201" ht="30" customHeight="1" x14ac:dyDescent="0.25"/>
    <row r="202" ht="30" customHeight="1" x14ac:dyDescent="0.25"/>
    <row r="203" ht="30" customHeight="1" x14ac:dyDescent="0.25"/>
    <row r="204" ht="30" customHeight="1" x14ac:dyDescent="0.25"/>
    <row r="205" ht="30" customHeight="1" x14ac:dyDescent="0.25"/>
    <row r="206" ht="30" customHeight="1" x14ac:dyDescent="0.25"/>
    <row r="207" ht="30" customHeight="1" x14ac:dyDescent="0.25"/>
    <row r="208" ht="30" customHeight="1" x14ac:dyDescent="0.25"/>
    <row r="209" ht="30" customHeight="1" x14ac:dyDescent="0.25"/>
    <row r="210" ht="30" customHeight="1" x14ac:dyDescent="0.25"/>
    <row r="211" ht="30" customHeight="1" x14ac:dyDescent="0.25"/>
    <row r="212" ht="30" customHeight="1" x14ac:dyDescent="0.25"/>
    <row r="213" ht="30" customHeight="1" x14ac:dyDescent="0.25"/>
    <row r="214" ht="30" customHeight="1" x14ac:dyDescent="0.25"/>
    <row r="215" ht="30" customHeight="1" x14ac:dyDescent="0.25"/>
    <row r="216" ht="30" customHeight="1" x14ac:dyDescent="0.25"/>
    <row r="217" ht="30" customHeight="1" x14ac:dyDescent="0.25"/>
    <row r="218" ht="30" customHeight="1" x14ac:dyDescent="0.25"/>
    <row r="219" ht="30" customHeight="1" x14ac:dyDescent="0.25"/>
    <row r="220" ht="30" customHeight="1" x14ac:dyDescent="0.25"/>
    <row r="221" ht="30" customHeight="1" x14ac:dyDescent="0.25"/>
    <row r="222" ht="30" customHeight="1" x14ac:dyDescent="0.25"/>
    <row r="223" ht="30" customHeight="1" x14ac:dyDescent="0.25"/>
    <row r="224" ht="30" customHeight="1" x14ac:dyDescent="0.25"/>
    <row r="225" ht="30" customHeight="1" x14ac:dyDescent="0.25"/>
    <row r="226" ht="30" customHeight="1" x14ac:dyDescent="0.25"/>
    <row r="227" ht="30" customHeight="1" x14ac:dyDescent="0.25"/>
    <row r="228" ht="30" customHeight="1" x14ac:dyDescent="0.25"/>
    <row r="229" ht="30" customHeight="1" x14ac:dyDescent="0.25"/>
    <row r="230" ht="30" customHeight="1" x14ac:dyDescent="0.25"/>
    <row r="231" ht="30" customHeight="1" x14ac:dyDescent="0.25"/>
    <row r="232" ht="30" customHeight="1" x14ac:dyDescent="0.25"/>
    <row r="233" ht="30" customHeight="1" x14ac:dyDescent="0.25"/>
    <row r="234" ht="30" customHeight="1" x14ac:dyDescent="0.25"/>
    <row r="235" ht="30" customHeight="1" x14ac:dyDescent="0.25"/>
    <row r="236" ht="30" customHeight="1" x14ac:dyDescent="0.25"/>
    <row r="237" ht="30" customHeight="1" x14ac:dyDescent="0.25"/>
    <row r="238" ht="30" customHeight="1" x14ac:dyDescent="0.25"/>
    <row r="239" ht="30" customHeight="1" x14ac:dyDescent="0.25"/>
    <row r="240" ht="30" customHeight="1" x14ac:dyDescent="0.25"/>
    <row r="241" ht="30" customHeight="1" x14ac:dyDescent="0.25"/>
    <row r="242" ht="30" customHeight="1" x14ac:dyDescent="0.25"/>
    <row r="243" ht="30" customHeight="1" x14ac:dyDescent="0.25"/>
    <row r="244" ht="30" customHeight="1" x14ac:dyDescent="0.25"/>
    <row r="245" ht="30" customHeight="1" x14ac:dyDescent="0.25"/>
    <row r="246" ht="30" customHeight="1" x14ac:dyDescent="0.25"/>
    <row r="247" ht="30" customHeight="1" x14ac:dyDescent="0.25"/>
    <row r="248" ht="30" customHeight="1" x14ac:dyDescent="0.25"/>
    <row r="249" ht="30" customHeight="1" x14ac:dyDescent="0.25"/>
    <row r="250" ht="30" customHeight="1" x14ac:dyDescent="0.25"/>
    <row r="251" ht="30" customHeight="1" x14ac:dyDescent="0.25"/>
    <row r="252" ht="30" customHeight="1" x14ac:dyDescent="0.25"/>
    <row r="253" ht="30" customHeight="1" x14ac:dyDescent="0.25"/>
    <row r="254" ht="30" customHeight="1" x14ac:dyDescent="0.25"/>
    <row r="255" ht="30" customHeight="1" x14ac:dyDescent="0.25"/>
    <row r="256" ht="30" customHeight="1" x14ac:dyDescent="0.25"/>
    <row r="257" ht="30" customHeight="1" x14ac:dyDescent="0.25"/>
    <row r="258" ht="30" customHeight="1" x14ac:dyDescent="0.25"/>
    <row r="259" ht="30" customHeight="1" x14ac:dyDescent="0.25"/>
    <row r="260" ht="30" customHeight="1" x14ac:dyDescent="0.25"/>
    <row r="261" ht="30" customHeight="1" x14ac:dyDescent="0.25"/>
    <row r="262" ht="30" customHeight="1" x14ac:dyDescent="0.25"/>
    <row r="263" ht="30" customHeight="1" x14ac:dyDescent="0.25"/>
    <row r="264" ht="30" customHeight="1" x14ac:dyDescent="0.25"/>
    <row r="265" ht="30" customHeight="1" x14ac:dyDescent="0.25"/>
    <row r="266" ht="30" customHeight="1" x14ac:dyDescent="0.25"/>
    <row r="267" ht="30" customHeight="1" x14ac:dyDescent="0.25"/>
    <row r="268" ht="30" customHeight="1" x14ac:dyDescent="0.25"/>
    <row r="269" ht="30" customHeight="1" x14ac:dyDescent="0.25"/>
    <row r="270" ht="30" customHeight="1" x14ac:dyDescent="0.25"/>
    <row r="271" ht="30" customHeight="1" x14ac:dyDescent="0.25"/>
    <row r="272" ht="30" customHeight="1" x14ac:dyDescent="0.25"/>
    <row r="273" ht="30" customHeight="1" x14ac:dyDescent="0.25"/>
    <row r="274" ht="30" customHeight="1" x14ac:dyDescent="0.25"/>
    <row r="275" ht="30" customHeight="1" x14ac:dyDescent="0.25"/>
    <row r="276" ht="30" customHeight="1" x14ac:dyDescent="0.25"/>
    <row r="277" ht="30" customHeight="1" x14ac:dyDescent="0.25"/>
    <row r="278" ht="30" customHeight="1" x14ac:dyDescent="0.25"/>
    <row r="279" ht="30" customHeight="1" x14ac:dyDescent="0.25"/>
    <row r="280" ht="30" customHeight="1" x14ac:dyDescent="0.25"/>
    <row r="281" ht="30" customHeight="1" x14ac:dyDescent="0.25"/>
    <row r="282" ht="30" customHeight="1" x14ac:dyDescent="0.25"/>
    <row r="283" ht="30" customHeight="1" x14ac:dyDescent="0.25"/>
    <row r="284" ht="30" customHeight="1" x14ac:dyDescent="0.25"/>
    <row r="285" ht="30" customHeight="1" x14ac:dyDescent="0.25"/>
    <row r="286" ht="30" customHeight="1" x14ac:dyDescent="0.25"/>
    <row r="287" ht="30" customHeight="1" x14ac:dyDescent="0.25"/>
    <row r="288" ht="30" customHeight="1" x14ac:dyDescent="0.25"/>
    <row r="289" ht="30" customHeight="1" x14ac:dyDescent="0.25"/>
    <row r="290" ht="30" customHeight="1" x14ac:dyDescent="0.25"/>
    <row r="291" ht="30" customHeight="1" x14ac:dyDescent="0.25"/>
    <row r="292" ht="30" customHeight="1" x14ac:dyDescent="0.25"/>
    <row r="293" ht="30" customHeight="1" x14ac:dyDescent="0.25"/>
    <row r="294" ht="30" customHeight="1" x14ac:dyDescent="0.25"/>
    <row r="295" ht="30" customHeight="1" x14ac:dyDescent="0.25"/>
    <row r="296" ht="30" customHeight="1" x14ac:dyDescent="0.25"/>
    <row r="297" ht="30" customHeight="1" x14ac:dyDescent="0.25"/>
    <row r="298" ht="30" customHeight="1" x14ac:dyDescent="0.25"/>
    <row r="299" ht="30" customHeight="1" x14ac:dyDescent="0.25"/>
    <row r="300" ht="30" customHeight="1" x14ac:dyDescent="0.25"/>
    <row r="301" ht="30" customHeight="1" x14ac:dyDescent="0.25"/>
    <row r="302" ht="30" customHeight="1" x14ac:dyDescent="0.25"/>
    <row r="303" ht="30" customHeight="1" x14ac:dyDescent="0.25"/>
    <row r="304" ht="30" customHeight="1" x14ac:dyDescent="0.25"/>
    <row r="305" ht="30" customHeight="1" x14ac:dyDescent="0.25"/>
    <row r="306" ht="30" customHeight="1" x14ac:dyDescent="0.25"/>
    <row r="307" ht="30" customHeight="1" x14ac:dyDescent="0.25"/>
    <row r="308" ht="30" customHeight="1" x14ac:dyDescent="0.25"/>
    <row r="309" ht="30" customHeight="1" x14ac:dyDescent="0.25"/>
    <row r="310" ht="30" customHeight="1" x14ac:dyDescent="0.25"/>
    <row r="311" ht="30" customHeight="1" x14ac:dyDescent="0.25"/>
    <row r="312" ht="30" customHeight="1" x14ac:dyDescent="0.25"/>
    <row r="313" ht="30" customHeight="1" x14ac:dyDescent="0.25"/>
    <row r="314" ht="30" customHeight="1" x14ac:dyDescent="0.25"/>
    <row r="315" ht="30" customHeight="1" x14ac:dyDescent="0.25"/>
    <row r="316" ht="30" customHeight="1" x14ac:dyDescent="0.25"/>
    <row r="317" ht="30" customHeight="1" x14ac:dyDescent="0.25"/>
    <row r="318" ht="30" customHeight="1" x14ac:dyDescent="0.25"/>
    <row r="319" ht="30" customHeight="1" x14ac:dyDescent="0.25"/>
    <row r="320" ht="30" customHeight="1" x14ac:dyDescent="0.25"/>
    <row r="321" ht="30" customHeight="1" x14ac:dyDescent="0.25"/>
    <row r="322" ht="30" customHeight="1" x14ac:dyDescent="0.25"/>
    <row r="323" ht="30" customHeight="1" x14ac:dyDescent="0.25"/>
    <row r="324" ht="30" customHeight="1" x14ac:dyDescent="0.25"/>
    <row r="325" ht="30" customHeight="1" x14ac:dyDescent="0.25"/>
    <row r="326" ht="30" customHeight="1" x14ac:dyDescent="0.25"/>
    <row r="327" ht="30" customHeight="1" x14ac:dyDescent="0.25"/>
    <row r="328" ht="30" customHeight="1" x14ac:dyDescent="0.25"/>
    <row r="329" ht="30" customHeight="1" x14ac:dyDescent="0.25"/>
    <row r="330" ht="30" customHeight="1" x14ac:dyDescent="0.25"/>
    <row r="331" ht="30" customHeight="1" x14ac:dyDescent="0.25"/>
    <row r="332" ht="30" customHeight="1" x14ac:dyDescent="0.25"/>
    <row r="333" ht="30" customHeight="1" x14ac:dyDescent="0.25"/>
    <row r="334" ht="30" customHeight="1" x14ac:dyDescent="0.25"/>
    <row r="335" ht="30" customHeight="1" x14ac:dyDescent="0.25"/>
    <row r="336" ht="30" customHeight="1" x14ac:dyDescent="0.25"/>
    <row r="337" ht="30" customHeight="1" x14ac:dyDescent="0.25"/>
    <row r="338" ht="30" customHeight="1" x14ac:dyDescent="0.25"/>
    <row r="339" ht="30" customHeight="1" x14ac:dyDescent="0.25"/>
    <row r="340" ht="30" customHeight="1" x14ac:dyDescent="0.25"/>
    <row r="341" ht="30" customHeight="1" x14ac:dyDescent="0.25"/>
    <row r="342" ht="30" customHeight="1" x14ac:dyDescent="0.25"/>
    <row r="343" ht="30" customHeight="1" x14ac:dyDescent="0.25"/>
    <row r="344" ht="30" customHeight="1" x14ac:dyDescent="0.25"/>
    <row r="345" ht="30" customHeight="1" x14ac:dyDescent="0.25"/>
    <row r="346" ht="30" customHeight="1" x14ac:dyDescent="0.25"/>
    <row r="347" ht="30" customHeight="1" x14ac:dyDescent="0.25"/>
    <row r="348" ht="30" customHeight="1" x14ac:dyDescent="0.25"/>
    <row r="349" ht="30" customHeight="1" x14ac:dyDescent="0.25"/>
    <row r="350" ht="30" customHeight="1" x14ac:dyDescent="0.25"/>
    <row r="351" ht="30" customHeight="1" x14ac:dyDescent="0.25"/>
    <row r="352" ht="30" customHeight="1" x14ac:dyDescent="0.25"/>
    <row r="353" ht="30" customHeight="1" x14ac:dyDescent="0.25"/>
    <row r="354" ht="30" customHeight="1" x14ac:dyDescent="0.25"/>
    <row r="355" ht="30" customHeight="1" x14ac:dyDescent="0.25"/>
    <row r="356" ht="30" customHeight="1" x14ac:dyDescent="0.25"/>
    <row r="357" ht="30" customHeight="1" x14ac:dyDescent="0.25"/>
    <row r="358" ht="30" customHeight="1" x14ac:dyDescent="0.25"/>
    <row r="359" ht="30" customHeight="1" x14ac:dyDescent="0.25"/>
    <row r="360" ht="30" customHeight="1" x14ac:dyDescent="0.25"/>
    <row r="361" ht="30" customHeight="1" x14ac:dyDescent="0.25"/>
    <row r="362" ht="30" customHeight="1" x14ac:dyDescent="0.25"/>
    <row r="363" ht="30" customHeight="1" x14ac:dyDescent="0.25"/>
    <row r="364" ht="30" customHeight="1" x14ac:dyDescent="0.25"/>
    <row r="365" ht="30" customHeight="1" x14ac:dyDescent="0.25"/>
    <row r="366" ht="30" customHeight="1" x14ac:dyDescent="0.25"/>
    <row r="367" ht="30" customHeight="1" x14ac:dyDescent="0.25"/>
    <row r="368" ht="30" customHeight="1" x14ac:dyDescent="0.25"/>
    <row r="369" ht="30" customHeight="1" x14ac:dyDescent="0.25"/>
    <row r="370" ht="30" customHeight="1" x14ac:dyDescent="0.25"/>
    <row r="371" ht="30" customHeight="1" x14ac:dyDescent="0.25"/>
    <row r="372" ht="30" customHeight="1" x14ac:dyDescent="0.25"/>
    <row r="373" ht="30" customHeight="1" x14ac:dyDescent="0.25"/>
    <row r="374" ht="30" customHeight="1" x14ac:dyDescent="0.25"/>
    <row r="375" ht="30" customHeight="1" x14ac:dyDescent="0.25"/>
    <row r="376" ht="30" customHeight="1" x14ac:dyDescent="0.25"/>
    <row r="377" ht="30" customHeight="1" x14ac:dyDescent="0.25"/>
    <row r="378" ht="30" customHeight="1" x14ac:dyDescent="0.25"/>
    <row r="379" ht="30" customHeight="1" x14ac:dyDescent="0.25"/>
    <row r="380" ht="30" customHeight="1" x14ac:dyDescent="0.25"/>
    <row r="381" ht="30" customHeight="1" x14ac:dyDescent="0.25"/>
    <row r="382" ht="30" customHeight="1" x14ac:dyDescent="0.25"/>
    <row r="383" ht="30" customHeight="1" x14ac:dyDescent="0.25"/>
    <row r="384" ht="30" customHeight="1" x14ac:dyDescent="0.25"/>
    <row r="385" ht="30" customHeight="1" x14ac:dyDescent="0.25"/>
    <row r="386" ht="30" customHeight="1" x14ac:dyDescent="0.25"/>
    <row r="387" ht="30" customHeight="1" x14ac:dyDescent="0.25"/>
    <row r="388" ht="30" customHeight="1" x14ac:dyDescent="0.25"/>
    <row r="389" ht="30" customHeight="1" x14ac:dyDescent="0.25"/>
    <row r="390" ht="30" customHeight="1" x14ac:dyDescent="0.25"/>
    <row r="391" ht="30" customHeight="1" x14ac:dyDescent="0.25"/>
    <row r="392" ht="30" customHeight="1" x14ac:dyDescent="0.25"/>
    <row r="393" ht="30" customHeight="1" x14ac:dyDescent="0.25"/>
    <row r="394" ht="30" customHeight="1" x14ac:dyDescent="0.25"/>
    <row r="395" ht="30" customHeight="1" x14ac:dyDescent="0.25"/>
    <row r="396" ht="30" customHeight="1" x14ac:dyDescent="0.25"/>
    <row r="397" ht="30" customHeight="1" x14ac:dyDescent="0.25"/>
    <row r="398" ht="30" customHeight="1" x14ac:dyDescent="0.25"/>
    <row r="399" ht="30" customHeight="1" x14ac:dyDescent="0.25"/>
    <row r="400" ht="30" customHeight="1" x14ac:dyDescent="0.25"/>
    <row r="401" ht="30" customHeight="1" x14ac:dyDescent="0.25"/>
    <row r="402" ht="30" customHeight="1" x14ac:dyDescent="0.25"/>
    <row r="403" ht="30" customHeight="1" x14ac:dyDescent="0.25"/>
    <row r="404" ht="30" customHeight="1" x14ac:dyDescent="0.25"/>
    <row r="405" ht="30" customHeight="1" x14ac:dyDescent="0.25"/>
    <row r="406" ht="30" customHeight="1" x14ac:dyDescent="0.25"/>
    <row r="407" ht="30" customHeight="1" x14ac:dyDescent="0.25"/>
    <row r="408" ht="30" customHeight="1" x14ac:dyDescent="0.25"/>
    <row r="409" ht="30" customHeight="1" x14ac:dyDescent="0.25"/>
    <row r="410" ht="30" customHeight="1" x14ac:dyDescent="0.25"/>
    <row r="411" ht="30" customHeight="1" x14ac:dyDescent="0.25"/>
    <row r="412" ht="30" customHeight="1" x14ac:dyDescent="0.25"/>
    <row r="413" ht="30" customHeight="1" x14ac:dyDescent="0.25"/>
    <row r="414" ht="30" customHeight="1" x14ac:dyDescent="0.25"/>
    <row r="415" ht="30" customHeight="1" x14ac:dyDescent="0.25"/>
    <row r="416" ht="30" customHeight="1" x14ac:dyDescent="0.25"/>
    <row r="417" ht="30" customHeight="1" x14ac:dyDescent="0.25"/>
    <row r="418" ht="30" customHeight="1" x14ac:dyDescent="0.25"/>
    <row r="419" ht="30" customHeight="1" x14ac:dyDescent="0.25"/>
    <row r="420" ht="30" customHeight="1" x14ac:dyDescent="0.25"/>
    <row r="421" ht="30" customHeight="1" x14ac:dyDescent="0.25"/>
    <row r="422" ht="30" customHeight="1" x14ac:dyDescent="0.25"/>
    <row r="423" ht="30" customHeight="1" x14ac:dyDescent="0.25"/>
    <row r="424" ht="30" customHeight="1" x14ac:dyDescent="0.25"/>
    <row r="425" ht="30" customHeight="1" x14ac:dyDescent="0.25"/>
    <row r="426" ht="30" customHeight="1" x14ac:dyDescent="0.25"/>
    <row r="427" ht="30" customHeight="1" x14ac:dyDescent="0.25"/>
    <row r="428" ht="30" customHeight="1" x14ac:dyDescent="0.25"/>
    <row r="429" ht="30" customHeight="1" x14ac:dyDescent="0.25"/>
    <row r="430" ht="30" customHeight="1" x14ac:dyDescent="0.25"/>
    <row r="431" ht="30" customHeight="1" x14ac:dyDescent="0.25"/>
    <row r="432" ht="30" customHeight="1" x14ac:dyDescent="0.25"/>
    <row r="433" ht="30" customHeight="1" x14ac:dyDescent="0.25"/>
    <row r="434" ht="30" customHeight="1" x14ac:dyDescent="0.25"/>
    <row r="435" ht="30" customHeight="1" x14ac:dyDescent="0.25"/>
    <row r="436" ht="30" customHeight="1" x14ac:dyDescent="0.25"/>
    <row r="437" ht="30" customHeight="1" x14ac:dyDescent="0.25"/>
    <row r="438" ht="30" customHeight="1" x14ac:dyDescent="0.25"/>
    <row r="439" ht="30" customHeight="1" x14ac:dyDescent="0.25"/>
    <row r="440" ht="30" customHeight="1" x14ac:dyDescent="0.25"/>
    <row r="441" ht="30" customHeight="1" x14ac:dyDescent="0.25"/>
    <row r="442" ht="30" customHeight="1" x14ac:dyDescent="0.25"/>
    <row r="443" ht="30" customHeight="1" x14ac:dyDescent="0.25"/>
    <row r="444" ht="30" customHeight="1" x14ac:dyDescent="0.25"/>
    <row r="445" ht="30" customHeight="1" x14ac:dyDescent="0.25"/>
    <row r="446" ht="30" customHeight="1" x14ac:dyDescent="0.25"/>
    <row r="447" ht="30" customHeight="1" x14ac:dyDescent="0.25"/>
    <row r="448" ht="30" customHeight="1" x14ac:dyDescent="0.25"/>
    <row r="449" ht="30" customHeight="1" x14ac:dyDescent="0.25"/>
    <row r="450" ht="30" customHeight="1" x14ac:dyDescent="0.25"/>
    <row r="451" ht="30" customHeight="1" x14ac:dyDescent="0.25"/>
    <row r="452" ht="30" customHeight="1" x14ac:dyDescent="0.25"/>
    <row r="453" ht="30" customHeight="1" x14ac:dyDescent="0.25"/>
    <row r="454" ht="30" customHeight="1" x14ac:dyDescent="0.25"/>
    <row r="455" ht="30" customHeight="1" x14ac:dyDescent="0.25"/>
    <row r="456" ht="30" customHeight="1" x14ac:dyDescent="0.25"/>
    <row r="457" ht="30" customHeight="1" x14ac:dyDescent="0.25"/>
    <row r="458" ht="30" customHeight="1" x14ac:dyDescent="0.25"/>
    <row r="459" ht="30" customHeight="1" x14ac:dyDescent="0.25"/>
    <row r="460" ht="30" customHeight="1" x14ac:dyDescent="0.25"/>
    <row r="461" ht="30" customHeight="1" x14ac:dyDescent="0.25"/>
    <row r="462" ht="30" customHeight="1" x14ac:dyDescent="0.25"/>
    <row r="463" ht="30" customHeight="1" x14ac:dyDescent="0.25"/>
    <row r="464" ht="30" customHeight="1" x14ac:dyDescent="0.25"/>
    <row r="465" ht="30" customHeight="1" x14ac:dyDescent="0.25"/>
    <row r="466" ht="30" customHeight="1" x14ac:dyDescent="0.25"/>
    <row r="467" ht="30" customHeight="1" x14ac:dyDescent="0.25"/>
    <row r="468" ht="30" customHeight="1" x14ac:dyDescent="0.25"/>
    <row r="469" ht="30" customHeight="1" x14ac:dyDescent="0.25"/>
    <row r="470" ht="30" customHeight="1" x14ac:dyDescent="0.25"/>
    <row r="471" ht="30" customHeight="1" x14ac:dyDescent="0.25"/>
    <row r="472" ht="30" customHeight="1" x14ac:dyDescent="0.25"/>
    <row r="473" ht="30" customHeight="1" x14ac:dyDescent="0.25"/>
    <row r="474" ht="30" customHeight="1" x14ac:dyDescent="0.25"/>
    <row r="475" ht="30" customHeight="1" x14ac:dyDescent="0.25"/>
    <row r="476" ht="30" customHeight="1" x14ac:dyDescent="0.25"/>
    <row r="477" ht="30" customHeight="1" x14ac:dyDescent="0.25"/>
    <row r="478" ht="30" customHeight="1" x14ac:dyDescent="0.25"/>
    <row r="479" ht="30" customHeight="1" x14ac:dyDescent="0.25"/>
    <row r="480" ht="30" customHeight="1" x14ac:dyDescent="0.25"/>
    <row r="481" ht="30" customHeight="1" x14ac:dyDescent="0.25"/>
    <row r="482" ht="30" customHeight="1" x14ac:dyDescent="0.25"/>
    <row r="483" ht="30" customHeight="1" x14ac:dyDescent="0.25"/>
    <row r="484" ht="30" customHeight="1" x14ac:dyDescent="0.25"/>
    <row r="485" ht="30" customHeight="1" x14ac:dyDescent="0.25"/>
    <row r="486" ht="30" customHeight="1" x14ac:dyDescent="0.25"/>
    <row r="487" ht="30" customHeight="1" x14ac:dyDescent="0.25"/>
    <row r="488" ht="30" customHeight="1" x14ac:dyDescent="0.25"/>
    <row r="489" ht="30" customHeight="1" x14ac:dyDescent="0.25"/>
    <row r="490" ht="30" customHeight="1" x14ac:dyDescent="0.25"/>
    <row r="491" ht="30" customHeight="1" x14ac:dyDescent="0.25"/>
    <row r="492" ht="30" customHeight="1" x14ac:dyDescent="0.25"/>
    <row r="493" ht="30" customHeight="1" x14ac:dyDescent="0.25"/>
    <row r="494" ht="30" customHeight="1" x14ac:dyDescent="0.25"/>
    <row r="495" ht="30" customHeight="1" x14ac:dyDescent="0.25"/>
    <row r="496" ht="30" customHeight="1" x14ac:dyDescent="0.25"/>
    <row r="497" ht="30" customHeight="1" x14ac:dyDescent="0.25"/>
    <row r="498" ht="30" customHeight="1" x14ac:dyDescent="0.25"/>
    <row r="499" ht="30" customHeight="1" x14ac:dyDescent="0.25"/>
    <row r="500" ht="30" customHeight="1" x14ac:dyDescent="0.25"/>
    <row r="501" ht="30" customHeight="1" x14ac:dyDescent="0.25"/>
    <row r="502" ht="30" customHeight="1" x14ac:dyDescent="0.25"/>
    <row r="503" ht="30" customHeight="1" x14ac:dyDescent="0.25"/>
    <row r="504" ht="30" customHeight="1" x14ac:dyDescent="0.25"/>
    <row r="505" ht="30" customHeight="1" x14ac:dyDescent="0.25"/>
    <row r="506" ht="30" customHeight="1" x14ac:dyDescent="0.25"/>
    <row r="507" ht="30" customHeight="1" x14ac:dyDescent="0.25"/>
    <row r="508" ht="30" customHeight="1" x14ac:dyDescent="0.25"/>
    <row r="509" ht="30" customHeight="1" x14ac:dyDescent="0.25"/>
    <row r="510" ht="30" customHeight="1" x14ac:dyDescent="0.25"/>
    <row r="511" ht="30" customHeight="1" x14ac:dyDescent="0.25"/>
    <row r="512" ht="30" customHeight="1" x14ac:dyDescent="0.25"/>
    <row r="513" ht="30" customHeight="1" x14ac:dyDescent="0.25"/>
    <row r="514" ht="30" customHeight="1" x14ac:dyDescent="0.25"/>
    <row r="515" ht="30" customHeight="1" x14ac:dyDescent="0.25"/>
    <row r="516" ht="30" customHeight="1" x14ac:dyDescent="0.25"/>
    <row r="517" ht="30" customHeight="1" x14ac:dyDescent="0.25"/>
    <row r="518" ht="30" customHeight="1" x14ac:dyDescent="0.25"/>
    <row r="519" ht="30" customHeight="1" x14ac:dyDescent="0.25"/>
    <row r="520" ht="30" customHeight="1" x14ac:dyDescent="0.25"/>
    <row r="521" ht="30" customHeight="1" x14ac:dyDescent="0.25"/>
    <row r="522" ht="30" customHeight="1" x14ac:dyDescent="0.25"/>
    <row r="523" ht="30" customHeight="1" x14ac:dyDescent="0.25"/>
    <row r="524" ht="30" customHeight="1" x14ac:dyDescent="0.25"/>
    <row r="525" ht="30" customHeight="1" x14ac:dyDescent="0.25"/>
    <row r="526" ht="30" customHeight="1" x14ac:dyDescent="0.25"/>
    <row r="527" ht="30" customHeight="1" x14ac:dyDescent="0.25"/>
    <row r="528" ht="30" customHeight="1" x14ac:dyDescent="0.25"/>
    <row r="529" ht="30" customHeight="1" x14ac:dyDescent="0.25"/>
    <row r="530" ht="30" customHeight="1" x14ac:dyDescent="0.25"/>
    <row r="531" ht="30" customHeight="1" x14ac:dyDescent="0.25"/>
    <row r="532" ht="30" customHeight="1" x14ac:dyDescent="0.25"/>
    <row r="533" ht="30" customHeight="1" x14ac:dyDescent="0.25"/>
    <row r="534" ht="30" customHeight="1" x14ac:dyDescent="0.25"/>
    <row r="535" ht="30" customHeight="1" x14ac:dyDescent="0.25"/>
    <row r="536" ht="30" customHeight="1" x14ac:dyDescent="0.25"/>
    <row r="537" ht="30" customHeight="1" x14ac:dyDescent="0.25"/>
    <row r="538" ht="30" customHeight="1" x14ac:dyDescent="0.25"/>
    <row r="539" ht="30" customHeight="1" x14ac:dyDescent="0.25"/>
    <row r="540" ht="30" customHeight="1" x14ac:dyDescent="0.25"/>
    <row r="541" ht="30" customHeight="1" x14ac:dyDescent="0.25"/>
    <row r="542" ht="30" customHeight="1" x14ac:dyDescent="0.25"/>
    <row r="543" ht="30" customHeight="1" x14ac:dyDescent="0.25"/>
    <row r="544" ht="30" customHeight="1" x14ac:dyDescent="0.25"/>
    <row r="545" ht="30" customHeight="1" x14ac:dyDescent="0.25"/>
    <row r="546" ht="30" customHeight="1" x14ac:dyDescent="0.25"/>
    <row r="547" ht="30" customHeight="1" x14ac:dyDescent="0.25"/>
    <row r="548" ht="30" customHeight="1" x14ac:dyDescent="0.25"/>
    <row r="549" ht="30" customHeight="1" x14ac:dyDescent="0.25"/>
    <row r="550" ht="30" customHeight="1" x14ac:dyDescent="0.25"/>
    <row r="551" ht="30" customHeight="1" x14ac:dyDescent="0.25"/>
    <row r="552" ht="30" customHeight="1" x14ac:dyDescent="0.25"/>
    <row r="553" ht="30" customHeight="1" x14ac:dyDescent="0.25"/>
    <row r="554" ht="30" customHeight="1" x14ac:dyDescent="0.25"/>
    <row r="555" ht="30" customHeight="1" x14ac:dyDescent="0.25"/>
    <row r="556" ht="30" customHeight="1" x14ac:dyDescent="0.25"/>
    <row r="557" ht="30" customHeight="1" x14ac:dyDescent="0.25"/>
    <row r="558" ht="30" customHeight="1" x14ac:dyDescent="0.25"/>
    <row r="559" ht="30" customHeight="1" x14ac:dyDescent="0.25"/>
    <row r="560" ht="30" customHeight="1" x14ac:dyDescent="0.25"/>
    <row r="561" ht="30" customHeight="1" x14ac:dyDescent="0.25"/>
    <row r="562" ht="30" customHeight="1" x14ac:dyDescent="0.25"/>
    <row r="563" ht="30" customHeight="1" x14ac:dyDescent="0.25"/>
    <row r="564" ht="30" customHeight="1" x14ac:dyDescent="0.25"/>
    <row r="565" ht="30" customHeight="1" x14ac:dyDescent="0.25"/>
    <row r="566" ht="30" customHeight="1" x14ac:dyDescent="0.25"/>
    <row r="567" ht="30" customHeight="1" x14ac:dyDescent="0.25"/>
    <row r="568" ht="30" customHeight="1" x14ac:dyDescent="0.25"/>
    <row r="569" ht="30" customHeight="1" x14ac:dyDescent="0.25"/>
    <row r="570" ht="30" customHeight="1" x14ac:dyDescent="0.25"/>
    <row r="571" ht="30" customHeight="1" x14ac:dyDescent="0.25"/>
    <row r="572" ht="30" customHeight="1" x14ac:dyDescent="0.25"/>
    <row r="573" ht="30" customHeight="1" x14ac:dyDescent="0.25"/>
    <row r="574" ht="30" customHeight="1" x14ac:dyDescent="0.25"/>
    <row r="575" ht="30" customHeight="1" x14ac:dyDescent="0.25"/>
    <row r="576" ht="30" customHeight="1" x14ac:dyDescent="0.25"/>
    <row r="577" ht="30" customHeight="1" x14ac:dyDescent="0.25"/>
    <row r="578" ht="30" customHeight="1" x14ac:dyDescent="0.25"/>
    <row r="579" ht="30" customHeight="1" x14ac:dyDescent="0.25"/>
    <row r="580" ht="30" customHeight="1" x14ac:dyDescent="0.25"/>
    <row r="581" ht="30" customHeight="1" x14ac:dyDescent="0.25"/>
    <row r="582" ht="30" customHeight="1" x14ac:dyDescent="0.25"/>
    <row r="583" ht="30" customHeight="1" x14ac:dyDescent="0.25"/>
    <row r="584" ht="30" customHeight="1" x14ac:dyDescent="0.25"/>
    <row r="585" ht="30" customHeight="1" x14ac:dyDescent="0.25"/>
    <row r="586" ht="30" customHeight="1" x14ac:dyDescent="0.25"/>
    <row r="587" ht="30" customHeight="1" x14ac:dyDescent="0.25"/>
    <row r="588" ht="30" customHeight="1" x14ac:dyDescent="0.25"/>
    <row r="589" ht="30" customHeight="1" x14ac:dyDescent="0.25"/>
    <row r="590" ht="30" customHeight="1" x14ac:dyDescent="0.25"/>
    <row r="591" ht="30" customHeight="1" x14ac:dyDescent="0.25"/>
    <row r="592" ht="30" customHeight="1" x14ac:dyDescent="0.25"/>
    <row r="593" ht="30" customHeight="1" x14ac:dyDescent="0.25"/>
    <row r="594" ht="30" customHeight="1" x14ac:dyDescent="0.25"/>
    <row r="595" ht="30" customHeight="1" x14ac:dyDescent="0.25"/>
    <row r="596" ht="30" customHeight="1" x14ac:dyDescent="0.25"/>
    <row r="597" ht="30" customHeight="1" x14ac:dyDescent="0.25"/>
    <row r="598" ht="30" customHeight="1" x14ac:dyDescent="0.25"/>
    <row r="599" ht="30" customHeight="1" x14ac:dyDescent="0.25"/>
    <row r="600" ht="30" customHeight="1" x14ac:dyDescent="0.25"/>
    <row r="601" ht="30" customHeight="1" x14ac:dyDescent="0.25"/>
    <row r="602" ht="30" customHeight="1" x14ac:dyDescent="0.25"/>
    <row r="603" ht="30" customHeight="1" x14ac:dyDescent="0.25"/>
    <row r="604" ht="30" customHeight="1" x14ac:dyDescent="0.25"/>
    <row r="605" ht="30" customHeight="1" x14ac:dyDescent="0.25"/>
    <row r="606" ht="30" customHeight="1" x14ac:dyDescent="0.25"/>
    <row r="607" ht="30" customHeight="1" x14ac:dyDescent="0.25"/>
    <row r="608" ht="30" customHeight="1" x14ac:dyDescent="0.25"/>
    <row r="609" ht="30" customHeight="1" x14ac:dyDescent="0.25"/>
    <row r="610" ht="30" customHeight="1" x14ac:dyDescent="0.25"/>
    <row r="611" ht="30" customHeight="1" x14ac:dyDescent="0.25"/>
    <row r="612" ht="30" customHeight="1" x14ac:dyDescent="0.25"/>
    <row r="613" ht="30" customHeight="1" x14ac:dyDescent="0.25"/>
    <row r="614" ht="30" customHeight="1" x14ac:dyDescent="0.25"/>
    <row r="615" ht="30" customHeight="1" x14ac:dyDescent="0.25"/>
    <row r="616" ht="30" customHeight="1" x14ac:dyDescent="0.25"/>
    <row r="617" ht="30" customHeight="1" x14ac:dyDescent="0.25"/>
    <row r="618" ht="30" customHeight="1" x14ac:dyDescent="0.25"/>
    <row r="619" ht="30" customHeight="1" x14ac:dyDescent="0.25"/>
    <row r="620" ht="30" customHeight="1" x14ac:dyDescent="0.25"/>
    <row r="621" ht="30" customHeight="1" x14ac:dyDescent="0.25"/>
    <row r="622" ht="30" customHeight="1" x14ac:dyDescent="0.25"/>
    <row r="623" ht="30" customHeight="1" x14ac:dyDescent="0.25"/>
    <row r="624" ht="30" customHeight="1" x14ac:dyDescent="0.25"/>
    <row r="625" ht="30" customHeight="1" x14ac:dyDescent="0.25"/>
    <row r="626" ht="30" customHeight="1" x14ac:dyDescent="0.25"/>
    <row r="627" ht="30" customHeight="1" x14ac:dyDescent="0.25"/>
    <row r="628" ht="30" customHeight="1" x14ac:dyDescent="0.25"/>
    <row r="629" ht="30" customHeight="1" x14ac:dyDescent="0.25"/>
    <row r="630" ht="30" customHeight="1" x14ac:dyDescent="0.25"/>
    <row r="631" ht="30" customHeight="1" x14ac:dyDescent="0.25"/>
    <row r="632" ht="30" customHeight="1" x14ac:dyDescent="0.25"/>
    <row r="633" ht="30" customHeight="1" x14ac:dyDescent="0.25"/>
    <row r="634" ht="30" customHeight="1" x14ac:dyDescent="0.25"/>
    <row r="635" ht="30" customHeight="1" x14ac:dyDescent="0.25"/>
    <row r="636" ht="30" customHeight="1" x14ac:dyDescent="0.25"/>
    <row r="637" ht="30" customHeight="1" x14ac:dyDescent="0.25"/>
    <row r="638" ht="30" customHeight="1" x14ac:dyDescent="0.25"/>
    <row r="639" ht="30" customHeight="1" x14ac:dyDescent="0.25"/>
    <row r="640" ht="30" customHeight="1" x14ac:dyDescent="0.25"/>
    <row r="641" ht="30" customHeight="1" x14ac:dyDescent="0.25"/>
    <row r="642" ht="30" customHeight="1" x14ac:dyDescent="0.25"/>
    <row r="643" ht="30" customHeight="1" x14ac:dyDescent="0.25"/>
    <row r="644" ht="30" customHeight="1" x14ac:dyDescent="0.25"/>
    <row r="645" ht="30" customHeight="1" x14ac:dyDescent="0.25"/>
    <row r="646" ht="30" customHeight="1" x14ac:dyDescent="0.25"/>
    <row r="647" ht="30" customHeight="1" x14ac:dyDescent="0.25"/>
    <row r="648" ht="30" customHeight="1" x14ac:dyDescent="0.25"/>
    <row r="649" ht="30" customHeight="1" x14ac:dyDescent="0.25"/>
    <row r="650" ht="30" customHeight="1" x14ac:dyDescent="0.25"/>
    <row r="651" ht="30" customHeight="1" x14ac:dyDescent="0.25"/>
    <row r="652" ht="30" customHeight="1" x14ac:dyDescent="0.25"/>
    <row r="653" ht="30" customHeight="1" x14ac:dyDescent="0.25"/>
    <row r="654" ht="30" customHeight="1" x14ac:dyDescent="0.25"/>
    <row r="655" ht="30" customHeight="1" x14ac:dyDescent="0.25"/>
    <row r="656" ht="30" customHeight="1" x14ac:dyDescent="0.25"/>
    <row r="657" ht="30" customHeight="1" x14ac:dyDescent="0.25"/>
    <row r="658" ht="30" customHeight="1" x14ac:dyDescent="0.25"/>
    <row r="659" ht="30" customHeight="1" x14ac:dyDescent="0.25"/>
    <row r="660" ht="30" customHeight="1" x14ac:dyDescent="0.25"/>
    <row r="661" ht="30" customHeight="1" x14ac:dyDescent="0.25"/>
    <row r="662" ht="30" customHeight="1" x14ac:dyDescent="0.25"/>
    <row r="663" ht="30" customHeight="1" x14ac:dyDescent="0.25"/>
    <row r="664" ht="30" customHeight="1" x14ac:dyDescent="0.25"/>
    <row r="665" ht="30" customHeight="1" x14ac:dyDescent="0.25"/>
    <row r="666" ht="30" customHeight="1" x14ac:dyDescent="0.25"/>
    <row r="667" ht="30" customHeight="1" x14ac:dyDescent="0.25"/>
    <row r="668" ht="30" customHeight="1" x14ac:dyDescent="0.25"/>
    <row r="669" ht="30" customHeight="1" x14ac:dyDescent="0.25"/>
    <row r="670" ht="30" customHeight="1" x14ac:dyDescent="0.25"/>
    <row r="671" ht="30" customHeight="1" x14ac:dyDescent="0.25"/>
    <row r="672" ht="30" customHeight="1" x14ac:dyDescent="0.25"/>
    <row r="673" ht="30" customHeight="1" x14ac:dyDescent="0.25"/>
    <row r="674" ht="30" customHeight="1" x14ac:dyDescent="0.25"/>
    <row r="675" ht="30" customHeight="1" x14ac:dyDescent="0.25"/>
    <row r="676" ht="30" customHeight="1" x14ac:dyDescent="0.25"/>
    <row r="677" ht="30" customHeight="1" x14ac:dyDescent="0.25"/>
    <row r="678" ht="30" customHeight="1" x14ac:dyDescent="0.25"/>
    <row r="679" ht="30" customHeight="1" x14ac:dyDescent="0.25"/>
    <row r="680" ht="30" customHeight="1" x14ac:dyDescent="0.25"/>
    <row r="681" ht="30" customHeight="1" x14ac:dyDescent="0.25"/>
    <row r="682" ht="30" customHeight="1" x14ac:dyDescent="0.25"/>
    <row r="683" ht="30" customHeight="1" x14ac:dyDescent="0.25"/>
    <row r="684" ht="30" customHeight="1" x14ac:dyDescent="0.25"/>
    <row r="685" ht="30" customHeight="1" x14ac:dyDescent="0.25"/>
    <row r="686" ht="30" customHeight="1" x14ac:dyDescent="0.25"/>
    <row r="687" ht="30" customHeight="1" x14ac:dyDescent="0.25"/>
    <row r="688" ht="30" customHeight="1" x14ac:dyDescent="0.25"/>
    <row r="689" ht="30" customHeight="1" x14ac:dyDescent="0.25"/>
    <row r="690" ht="30" customHeight="1" x14ac:dyDescent="0.25"/>
    <row r="691" ht="30" customHeight="1" x14ac:dyDescent="0.25"/>
    <row r="692" ht="30" customHeight="1" x14ac:dyDescent="0.25"/>
    <row r="693" ht="30" customHeight="1" x14ac:dyDescent="0.25"/>
    <row r="694" ht="30" customHeight="1" x14ac:dyDescent="0.25"/>
    <row r="695" ht="30" customHeight="1" x14ac:dyDescent="0.25"/>
    <row r="696" ht="30" customHeight="1" x14ac:dyDescent="0.25"/>
    <row r="697" ht="30" customHeight="1" x14ac:dyDescent="0.25"/>
    <row r="698" ht="30" customHeight="1" x14ac:dyDescent="0.25"/>
    <row r="699" ht="30" customHeight="1" x14ac:dyDescent="0.25"/>
    <row r="700" ht="30" customHeight="1" x14ac:dyDescent="0.25"/>
    <row r="701" ht="30" customHeight="1" x14ac:dyDescent="0.25"/>
    <row r="702" ht="30" customHeight="1" x14ac:dyDescent="0.25"/>
    <row r="703" ht="30" customHeight="1" x14ac:dyDescent="0.25"/>
    <row r="704" ht="30" customHeight="1" x14ac:dyDescent="0.25"/>
    <row r="705" ht="30" customHeight="1" x14ac:dyDescent="0.25"/>
    <row r="706" ht="30" customHeight="1" x14ac:dyDescent="0.25"/>
    <row r="707" ht="30" customHeight="1" x14ac:dyDescent="0.25"/>
    <row r="708" ht="30" customHeight="1" x14ac:dyDescent="0.25"/>
    <row r="709" ht="30" customHeight="1" x14ac:dyDescent="0.25"/>
    <row r="710" ht="30" customHeight="1" x14ac:dyDescent="0.25"/>
    <row r="711" ht="30" customHeight="1" x14ac:dyDescent="0.25"/>
    <row r="712" ht="30" customHeight="1" x14ac:dyDescent="0.25"/>
    <row r="713" ht="30" customHeight="1" x14ac:dyDescent="0.25"/>
    <row r="714" ht="30" customHeight="1" x14ac:dyDescent="0.25"/>
    <row r="715" ht="30" customHeight="1" x14ac:dyDescent="0.25"/>
    <row r="716" ht="30" customHeight="1" x14ac:dyDescent="0.25"/>
    <row r="717" ht="30" customHeight="1" x14ac:dyDescent="0.25"/>
    <row r="718" ht="30" customHeight="1" x14ac:dyDescent="0.25"/>
    <row r="719" ht="30" customHeight="1" x14ac:dyDescent="0.25"/>
    <row r="720" ht="30" customHeight="1" x14ac:dyDescent="0.25"/>
    <row r="721" ht="30" customHeight="1" x14ac:dyDescent="0.25"/>
    <row r="722" ht="30" customHeight="1" x14ac:dyDescent="0.25"/>
    <row r="723" ht="30" customHeight="1" x14ac:dyDescent="0.25"/>
    <row r="724" ht="30" customHeight="1" x14ac:dyDescent="0.25"/>
    <row r="725" ht="30" customHeight="1" x14ac:dyDescent="0.25"/>
    <row r="726" ht="30" customHeight="1" x14ac:dyDescent="0.25"/>
    <row r="727" ht="30" customHeight="1" x14ac:dyDescent="0.25"/>
    <row r="728" ht="30" customHeight="1" x14ac:dyDescent="0.25"/>
    <row r="729" ht="30" customHeight="1" x14ac:dyDescent="0.25"/>
    <row r="730" ht="30" customHeight="1" x14ac:dyDescent="0.25"/>
    <row r="731" ht="30" customHeight="1" x14ac:dyDescent="0.25"/>
    <row r="732" ht="30" customHeight="1" x14ac:dyDescent="0.25"/>
    <row r="733" ht="30" customHeight="1" x14ac:dyDescent="0.25"/>
    <row r="734" ht="30" customHeight="1" x14ac:dyDescent="0.25"/>
    <row r="735" ht="30" customHeight="1" x14ac:dyDescent="0.25"/>
    <row r="736" ht="30" customHeight="1" x14ac:dyDescent="0.25"/>
    <row r="737" ht="30" customHeight="1" x14ac:dyDescent="0.25"/>
    <row r="738" ht="30" customHeight="1" x14ac:dyDescent="0.25"/>
    <row r="739" ht="30" customHeight="1" x14ac:dyDescent="0.25"/>
    <row r="740" ht="30" customHeight="1" x14ac:dyDescent="0.25"/>
    <row r="741" ht="30" customHeight="1" x14ac:dyDescent="0.25"/>
    <row r="742" ht="30" customHeight="1" x14ac:dyDescent="0.25"/>
    <row r="743" ht="30" customHeight="1" x14ac:dyDescent="0.25"/>
    <row r="744" ht="30" customHeight="1" x14ac:dyDescent="0.25"/>
    <row r="745" ht="30" customHeight="1" x14ac:dyDescent="0.25"/>
    <row r="746" ht="30" customHeight="1" x14ac:dyDescent="0.25"/>
    <row r="747" ht="30" customHeight="1" x14ac:dyDescent="0.25"/>
    <row r="748" ht="30" customHeight="1" x14ac:dyDescent="0.25"/>
    <row r="749" ht="30" customHeight="1" x14ac:dyDescent="0.25"/>
    <row r="750" ht="30" customHeight="1" x14ac:dyDescent="0.25"/>
    <row r="751" ht="30" customHeight="1" x14ac:dyDescent="0.25"/>
    <row r="752" ht="30" customHeight="1" x14ac:dyDescent="0.25"/>
    <row r="753" ht="30" customHeight="1" x14ac:dyDescent="0.25"/>
    <row r="754" ht="30" customHeight="1" x14ac:dyDescent="0.25"/>
    <row r="755" ht="30" customHeight="1" x14ac:dyDescent="0.25"/>
    <row r="756" ht="30" customHeight="1" x14ac:dyDescent="0.25"/>
    <row r="757" ht="30" customHeight="1" x14ac:dyDescent="0.25"/>
    <row r="758" ht="30" customHeight="1" x14ac:dyDescent="0.25"/>
    <row r="759" ht="30" customHeight="1" x14ac:dyDescent="0.25"/>
    <row r="760" ht="30" customHeight="1" x14ac:dyDescent="0.25"/>
    <row r="761" ht="30" customHeight="1" x14ac:dyDescent="0.25"/>
    <row r="762" ht="30" customHeight="1" x14ac:dyDescent="0.25"/>
    <row r="763" ht="30" customHeight="1" x14ac:dyDescent="0.25"/>
    <row r="764" ht="30" customHeight="1" x14ac:dyDescent="0.25"/>
    <row r="765" ht="30" customHeight="1" x14ac:dyDescent="0.25"/>
    <row r="766" ht="30" customHeight="1" x14ac:dyDescent="0.25"/>
    <row r="767" ht="30" customHeight="1" x14ac:dyDescent="0.25"/>
    <row r="768" ht="30" customHeight="1" x14ac:dyDescent="0.25"/>
    <row r="769" ht="30" customHeight="1" x14ac:dyDescent="0.25"/>
    <row r="770" ht="30" customHeight="1" x14ac:dyDescent="0.25"/>
    <row r="771" ht="30" customHeight="1" x14ac:dyDescent="0.25"/>
    <row r="772" ht="30" customHeight="1" x14ac:dyDescent="0.25"/>
    <row r="773" ht="30" customHeight="1" x14ac:dyDescent="0.25"/>
    <row r="774" ht="30" customHeight="1" x14ac:dyDescent="0.25"/>
    <row r="775" ht="30" customHeight="1" x14ac:dyDescent="0.25"/>
    <row r="776" ht="30" customHeight="1" x14ac:dyDescent="0.25"/>
    <row r="777" ht="30" customHeight="1" x14ac:dyDescent="0.25"/>
    <row r="778" ht="30" customHeight="1" x14ac:dyDescent="0.25"/>
    <row r="779" ht="30" customHeight="1" x14ac:dyDescent="0.25"/>
    <row r="780" ht="30" customHeight="1" x14ac:dyDescent="0.25"/>
    <row r="781" ht="30" customHeight="1" x14ac:dyDescent="0.25"/>
    <row r="782" ht="30" customHeight="1" x14ac:dyDescent="0.25"/>
    <row r="783" ht="30" customHeight="1" x14ac:dyDescent="0.25"/>
    <row r="784" ht="30" customHeight="1" x14ac:dyDescent="0.25"/>
    <row r="785" ht="30" customHeight="1" x14ac:dyDescent="0.25"/>
    <row r="786" ht="30" customHeight="1" x14ac:dyDescent="0.25"/>
    <row r="787" ht="30" customHeight="1" x14ac:dyDescent="0.25"/>
    <row r="788" ht="30" customHeight="1" x14ac:dyDescent="0.25"/>
    <row r="789" ht="30" customHeight="1" x14ac:dyDescent="0.25"/>
    <row r="790" ht="30" customHeight="1" x14ac:dyDescent="0.25"/>
    <row r="791" ht="30" customHeight="1" x14ac:dyDescent="0.25"/>
    <row r="792" ht="30" customHeight="1" x14ac:dyDescent="0.25"/>
    <row r="793" ht="30" customHeight="1" x14ac:dyDescent="0.25"/>
    <row r="794" ht="30" customHeight="1" x14ac:dyDescent="0.25"/>
    <row r="795" ht="30" customHeight="1" x14ac:dyDescent="0.25"/>
    <row r="796" ht="30" customHeight="1" x14ac:dyDescent="0.25"/>
    <row r="797" ht="30" customHeight="1" x14ac:dyDescent="0.25"/>
    <row r="798" ht="30" customHeight="1" x14ac:dyDescent="0.25"/>
    <row r="799" ht="30" customHeight="1" x14ac:dyDescent="0.25"/>
    <row r="800" ht="30" customHeight="1" x14ac:dyDescent="0.25"/>
    <row r="801" ht="30" customHeight="1" x14ac:dyDescent="0.25"/>
    <row r="802" ht="30" customHeight="1" x14ac:dyDescent="0.25"/>
    <row r="803" ht="30" customHeight="1" x14ac:dyDescent="0.25"/>
    <row r="804" ht="30" customHeight="1" x14ac:dyDescent="0.25"/>
    <row r="805" ht="30" customHeight="1" x14ac:dyDescent="0.25"/>
    <row r="806" ht="30" customHeight="1" x14ac:dyDescent="0.25"/>
    <row r="807" ht="30" customHeight="1" x14ac:dyDescent="0.25"/>
    <row r="808" ht="30" customHeight="1" x14ac:dyDescent="0.25"/>
    <row r="809" ht="30" customHeight="1" x14ac:dyDescent="0.25"/>
    <row r="810" ht="30" customHeight="1" x14ac:dyDescent="0.25"/>
    <row r="811" ht="30" customHeight="1" x14ac:dyDescent="0.25"/>
    <row r="812" ht="30" customHeight="1" x14ac:dyDescent="0.25"/>
    <row r="813" ht="30" customHeight="1" x14ac:dyDescent="0.25"/>
    <row r="814" ht="30" customHeight="1" x14ac:dyDescent="0.25"/>
    <row r="815" ht="30" customHeight="1" x14ac:dyDescent="0.25"/>
    <row r="816" ht="30" customHeight="1" x14ac:dyDescent="0.25"/>
    <row r="817" ht="30" customHeight="1" x14ac:dyDescent="0.25"/>
    <row r="818" ht="30" customHeight="1" x14ac:dyDescent="0.25"/>
    <row r="819" ht="30" customHeight="1" x14ac:dyDescent="0.25"/>
    <row r="820" ht="30" customHeight="1" x14ac:dyDescent="0.25"/>
    <row r="821" ht="30" customHeight="1" x14ac:dyDescent="0.25"/>
    <row r="822" ht="30" customHeight="1" x14ac:dyDescent="0.25"/>
    <row r="823" ht="30" customHeight="1" x14ac:dyDescent="0.25"/>
    <row r="824" ht="30" customHeight="1" x14ac:dyDescent="0.25"/>
    <row r="825" ht="30" customHeight="1" x14ac:dyDescent="0.25"/>
    <row r="826" ht="30" customHeight="1" x14ac:dyDescent="0.25"/>
    <row r="827" ht="30" customHeight="1" x14ac:dyDescent="0.25"/>
    <row r="828" ht="30" customHeight="1" x14ac:dyDescent="0.25"/>
    <row r="829" ht="30" customHeight="1" x14ac:dyDescent="0.25"/>
    <row r="830" ht="30" customHeight="1" x14ac:dyDescent="0.25"/>
    <row r="831" ht="30" customHeight="1" x14ac:dyDescent="0.25"/>
    <row r="832" ht="30" customHeight="1" x14ac:dyDescent="0.25"/>
    <row r="833" ht="30" customHeight="1" x14ac:dyDescent="0.25"/>
    <row r="834" ht="30" customHeight="1" x14ac:dyDescent="0.25"/>
    <row r="835" ht="30" customHeight="1" x14ac:dyDescent="0.25"/>
    <row r="836" ht="30" customHeight="1" x14ac:dyDescent="0.25"/>
    <row r="837" ht="30" customHeight="1" x14ac:dyDescent="0.25"/>
    <row r="838" ht="30" customHeight="1" x14ac:dyDescent="0.25"/>
    <row r="839" ht="30" customHeight="1" x14ac:dyDescent="0.25"/>
    <row r="840" ht="30" customHeight="1" x14ac:dyDescent="0.25"/>
    <row r="841" ht="30" customHeight="1" x14ac:dyDescent="0.25"/>
    <row r="842" ht="30" customHeight="1" x14ac:dyDescent="0.25"/>
    <row r="843" ht="30" customHeight="1" x14ac:dyDescent="0.25"/>
    <row r="844" ht="30" customHeight="1" x14ac:dyDescent="0.25"/>
    <row r="845" ht="30" customHeight="1" x14ac:dyDescent="0.25"/>
    <row r="846" ht="30" customHeight="1" x14ac:dyDescent="0.25"/>
    <row r="847" ht="30" customHeight="1" x14ac:dyDescent="0.25"/>
    <row r="848" ht="30" customHeight="1" x14ac:dyDescent="0.25"/>
    <row r="849" ht="30" customHeight="1" x14ac:dyDescent="0.25"/>
    <row r="850" ht="30" customHeight="1" x14ac:dyDescent="0.25"/>
    <row r="851" ht="30" customHeight="1" x14ac:dyDescent="0.25"/>
    <row r="852" ht="30" customHeight="1" x14ac:dyDescent="0.25"/>
    <row r="853" ht="30" customHeight="1" x14ac:dyDescent="0.25"/>
    <row r="854" ht="30" customHeight="1" x14ac:dyDescent="0.25"/>
    <row r="855" ht="30" customHeight="1" x14ac:dyDescent="0.25"/>
    <row r="856" ht="30" customHeight="1" x14ac:dyDescent="0.25"/>
    <row r="857" ht="30" customHeight="1" x14ac:dyDescent="0.25"/>
    <row r="858" ht="30" customHeight="1" x14ac:dyDescent="0.25"/>
    <row r="859" ht="30" customHeight="1" x14ac:dyDescent="0.25"/>
    <row r="860" ht="30" customHeight="1" x14ac:dyDescent="0.25"/>
    <row r="861" ht="30" customHeight="1" x14ac:dyDescent="0.25"/>
    <row r="862" ht="30" customHeight="1" x14ac:dyDescent="0.25"/>
    <row r="863" ht="30" customHeight="1" x14ac:dyDescent="0.25"/>
    <row r="864" ht="30" customHeight="1" x14ac:dyDescent="0.25"/>
    <row r="865" ht="30" customHeight="1" x14ac:dyDescent="0.25"/>
    <row r="866" ht="30" customHeight="1" x14ac:dyDescent="0.25"/>
    <row r="867" ht="30" customHeight="1" x14ac:dyDescent="0.25"/>
    <row r="868" ht="30" customHeight="1" x14ac:dyDescent="0.25"/>
    <row r="869" ht="30" customHeight="1" x14ac:dyDescent="0.25"/>
    <row r="870" ht="30" customHeight="1" x14ac:dyDescent="0.25"/>
    <row r="871" ht="30" customHeight="1" x14ac:dyDescent="0.25"/>
    <row r="872" ht="30" customHeight="1" x14ac:dyDescent="0.25"/>
    <row r="873" ht="30" customHeight="1" x14ac:dyDescent="0.25"/>
    <row r="874" ht="30" customHeight="1" x14ac:dyDescent="0.25"/>
    <row r="875" ht="30" customHeight="1" x14ac:dyDescent="0.25"/>
    <row r="876" ht="30" customHeight="1" x14ac:dyDescent="0.25"/>
    <row r="877" ht="30" customHeight="1" x14ac:dyDescent="0.25"/>
    <row r="878" ht="30" customHeight="1" x14ac:dyDescent="0.25"/>
    <row r="879" ht="30" customHeight="1" x14ac:dyDescent="0.25"/>
    <row r="880" ht="30" customHeight="1" x14ac:dyDescent="0.25"/>
    <row r="881" ht="30" customHeight="1" x14ac:dyDescent="0.25"/>
    <row r="882" ht="30" customHeight="1" x14ac:dyDescent="0.25"/>
    <row r="883" ht="30" customHeight="1" x14ac:dyDescent="0.25"/>
    <row r="884" ht="30" customHeight="1" x14ac:dyDescent="0.25"/>
    <row r="885" ht="30" customHeight="1" x14ac:dyDescent="0.25"/>
    <row r="886" ht="30" customHeight="1" x14ac:dyDescent="0.25"/>
    <row r="887" ht="30" customHeight="1" x14ac:dyDescent="0.25"/>
    <row r="888" ht="30" customHeight="1" x14ac:dyDescent="0.25"/>
    <row r="889" ht="30" customHeight="1" x14ac:dyDescent="0.25"/>
    <row r="890" ht="30" customHeight="1" x14ac:dyDescent="0.25"/>
    <row r="891" ht="30" customHeight="1" x14ac:dyDescent="0.25"/>
    <row r="892" ht="30" customHeight="1" x14ac:dyDescent="0.25"/>
    <row r="893" ht="30" customHeight="1" x14ac:dyDescent="0.25"/>
    <row r="894" ht="30" customHeight="1" x14ac:dyDescent="0.25"/>
    <row r="895" ht="30" customHeight="1" x14ac:dyDescent="0.25"/>
    <row r="896" ht="30" customHeight="1" x14ac:dyDescent="0.25"/>
    <row r="897" ht="30" customHeight="1" x14ac:dyDescent="0.25"/>
    <row r="898" ht="30" customHeight="1" x14ac:dyDescent="0.25"/>
    <row r="899" ht="30" customHeight="1" x14ac:dyDescent="0.25"/>
    <row r="900" ht="30" customHeight="1" x14ac:dyDescent="0.25"/>
    <row r="901" ht="30" customHeight="1" x14ac:dyDescent="0.25"/>
    <row r="902" ht="30" customHeight="1" x14ac:dyDescent="0.25"/>
    <row r="903" ht="30" customHeight="1" x14ac:dyDescent="0.25"/>
    <row r="904" ht="30" customHeight="1" x14ac:dyDescent="0.25"/>
    <row r="905" ht="30" customHeight="1" x14ac:dyDescent="0.25"/>
    <row r="906" ht="30" customHeight="1" x14ac:dyDescent="0.25"/>
    <row r="907" ht="30" customHeight="1" x14ac:dyDescent="0.25"/>
    <row r="908" ht="30" customHeight="1" x14ac:dyDescent="0.25"/>
    <row r="909" ht="30" customHeight="1" x14ac:dyDescent="0.25"/>
    <row r="910" ht="30" customHeight="1" x14ac:dyDescent="0.25"/>
    <row r="911" ht="30" customHeight="1" x14ac:dyDescent="0.25"/>
    <row r="912" ht="30" customHeight="1" x14ac:dyDescent="0.25"/>
    <row r="913" ht="30" customHeight="1" x14ac:dyDescent="0.25"/>
    <row r="914" ht="30" customHeight="1" x14ac:dyDescent="0.25"/>
    <row r="915" ht="30" customHeight="1" x14ac:dyDescent="0.25"/>
    <row r="916" ht="30" customHeight="1" x14ac:dyDescent="0.25"/>
    <row r="917" ht="30" customHeight="1" x14ac:dyDescent="0.25"/>
    <row r="918" ht="30" customHeight="1" x14ac:dyDescent="0.25"/>
    <row r="919" ht="30" customHeight="1" x14ac:dyDescent="0.25"/>
    <row r="920" ht="30" customHeight="1" x14ac:dyDescent="0.25"/>
    <row r="921" ht="30" customHeight="1" x14ac:dyDescent="0.25"/>
    <row r="922" ht="30" customHeight="1" x14ac:dyDescent="0.25"/>
    <row r="923" ht="30" customHeight="1" x14ac:dyDescent="0.25"/>
    <row r="924" ht="30" customHeight="1" x14ac:dyDescent="0.25"/>
    <row r="925" ht="30" customHeight="1" x14ac:dyDescent="0.25"/>
    <row r="926" ht="30" customHeight="1" x14ac:dyDescent="0.25"/>
    <row r="927" ht="30" customHeight="1" x14ac:dyDescent="0.25"/>
    <row r="928" ht="30" customHeight="1" x14ac:dyDescent="0.25"/>
    <row r="929" ht="30" customHeight="1" x14ac:dyDescent="0.25"/>
    <row r="930" ht="30" customHeight="1" x14ac:dyDescent="0.25"/>
    <row r="931" ht="30" customHeight="1" x14ac:dyDescent="0.25"/>
    <row r="932" ht="30" customHeight="1" x14ac:dyDescent="0.25"/>
    <row r="933" ht="30" customHeight="1" x14ac:dyDescent="0.25"/>
    <row r="934" ht="30" customHeight="1" x14ac:dyDescent="0.25"/>
    <row r="935" ht="30" customHeight="1" x14ac:dyDescent="0.25"/>
    <row r="936" ht="30" customHeight="1" x14ac:dyDescent="0.25"/>
    <row r="937" ht="30" customHeight="1" x14ac:dyDescent="0.25"/>
    <row r="938" ht="30" customHeight="1" x14ac:dyDescent="0.25"/>
    <row r="939" ht="30" customHeight="1" x14ac:dyDescent="0.25"/>
    <row r="940" ht="30" customHeight="1" x14ac:dyDescent="0.25"/>
    <row r="941" ht="30" customHeight="1" x14ac:dyDescent="0.25"/>
    <row r="942" ht="30" customHeight="1" x14ac:dyDescent="0.25"/>
    <row r="943" ht="30" customHeight="1" x14ac:dyDescent="0.25"/>
    <row r="944" ht="30" customHeight="1" x14ac:dyDescent="0.25"/>
    <row r="945" ht="30" customHeight="1" x14ac:dyDescent="0.25"/>
    <row r="946" ht="30" customHeight="1" x14ac:dyDescent="0.25"/>
    <row r="947" ht="30" customHeight="1" x14ac:dyDescent="0.25"/>
    <row r="948" ht="30" customHeight="1" x14ac:dyDescent="0.25"/>
    <row r="949" ht="30" customHeight="1" x14ac:dyDescent="0.25"/>
    <row r="950" ht="30" customHeight="1" x14ac:dyDescent="0.25"/>
    <row r="951" ht="30" customHeight="1" x14ac:dyDescent="0.25"/>
    <row r="952" ht="30" customHeight="1" x14ac:dyDescent="0.25"/>
    <row r="953" ht="30" customHeight="1" x14ac:dyDescent="0.25"/>
    <row r="954" ht="30" customHeight="1" x14ac:dyDescent="0.25"/>
    <row r="955" ht="30" customHeight="1" x14ac:dyDescent="0.25"/>
    <row r="956" ht="30" customHeight="1" x14ac:dyDescent="0.25"/>
    <row r="957" ht="30" customHeight="1" x14ac:dyDescent="0.25"/>
    <row r="958" ht="30" customHeight="1" x14ac:dyDescent="0.25"/>
    <row r="959" ht="30" customHeight="1" x14ac:dyDescent="0.25"/>
    <row r="960" ht="30" customHeight="1" x14ac:dyDescent="0.25"/>
    <row r="961" ht="30" customHeight="1" x14ac:dyDescent="0.25"/>
  </sheetData>
  <mergeCells count="15">
    <mergeCell ref="DA3:DC3"/>
    <mergeCell ref="CP4:CT4"/>
    <mergeCell ref="AA18:AD18"/>
    <mergeCell ref="AD28:AI28"/>
    <mergeCell ref="AN5:AP5"/>
    <mergeCell ref="AY5:BA5"/>
    <mergeCell ref="AB2:AD2"/>
    <mergeCell ref="AY18:BA18"/>
    <mergeCell ref="AU20:AV20"/>
    <mergeCell ref="AU21:AV21"/>
    <mergeCell ref="AU19:AV19"/>
    <mergeCell ref="D13:H13"/>
    <mergeCell ref="D1:H1"/>
    <mergeCell ref="O3:S3"/>
    <mergeCell ref="O13:T13"/>
  </mergeCells>
  <conditionalFormatting sqref="N17:U17">
    <cfRule type="cellIs" dxfId="7" priority="8" operator="equal">
      <formula>0</formula>
    </cfRule>
  </conditionalFormatting>
  <conditionalFormatting sqref="N14:U14">
    <cfRule type="cellIs" dxfId="6" priority="7" operator="equal">
      <formula>0</formula>
    </cfRule>
  </conditionalFormatting>
  <conditionalFormatting sqref="N14:U14">
    <cfRule type="cellIs" dxfId="5" priority="6" operator="equal">
      <formula>1</formula>
    </cfRule>
  </conditionalFormatting>
  <conditionalFormatting sqref="N17:U17">
    <cfRule type="cellIs" dxfId="4" priority="5" operator="equal">
      <formula>1</formula>
    </cfRule>
  </conditionalFormatting>
  <conditionalFormatting sqref="C15:J22">
    <cfRule type="cellIs" dxfId="3" priority="3" operator="equal">
      <formula>TRUE</formula>
    </cfRule>
    <cfRule type="cellIs" dxfId="2" priority="4" operator="equal">
      <formula>FALSE</formula>
    </cfRule>
  </conditionalFormatting>
  <conditionalFormatting sqref="AW8:BD15 BF8:BF15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128" r:id="rId4" name="b63">
          <controlPr defaultSize="0" autoLine="0" r:id="rId5">
            <anchor moveWithCells="1">
              <from>
                <xdr:col>44</xdr:col>
                <xdr:colOff>9525</xdr:colOff>
                <xdr:row>13</xdr:row>
                <xdr:rowOff>361950</xdr:rowOff>
              </from>
              <to>
                <xdr:col>45</xdr:col>
                <xdr:colOff>38100</xdr:colOff>
                <xdr:row>14</xdr:row>
                <xdr:rowOff>361950</xdr:rowOff>
              </to>
            </anchor>
          </controlPr>
        </control>
      </mc:Choice>
      <mc:Fallback>
        <control shapeId="1128" r:id="rId4" name="b63"/>
      </mc:Fallback>
    </mc:AlternateContent>
    <mc:AlternateContent xmlns:mc="http://schemas.openxmlformats.org/markup-compatibility/2006">
      <mc:Choice Requires="x14">
        <control shapeId="1127" r:id="rId6" name="b62">
          <controlPr defaultSize="0" autoLine="0" r:id="rId7">
            <anchor moveWithCells="1">
              <from>
                <xdr:col>43</xdr:col>
                <xdr:colOff>9525</xdr:colOff>
                <xdr:row>13</xdr:row>
                <xdr:rowOff>361950</xdr:rowOff>
              </from>
              <to>
                <xdr:col>44</xdr:col>
                <xdr:colOff>38100</xdr:colOff>
                <xdr:row>14</xdr:row>
                <xdr:rowOff>361950</xdr:rowOff>
              </to>
            </anchor>
          </controlPr>
        </control>
      </mc:Choice>
      <mc:Fallback>
        <control shapeId="1127" r:id="rId6" name="b62"/>
      </mc:Fallback>
    </mc:AlternateContent>
    <mc:AlternateContent xmlns:mc="http://schemas.openxmlformats.org/markup-compatibility/2006">
      <mc:Choice Requires="x14">
        <control shapeId="1126" r:id="rId8" name="b61">
          <controlPr defaultSize="0" autoLine="0" r:id="rId9">
            <anchor moveWithCells="1">
              <from>
                <xdr:col>42</xdr:col>
                <xdr:colOff>9525</xdr:colOff>
                <xdr:row>13</xdr:row>
                <xdr:rowOff>361950</xdr:rowOff>
              </from>
              <to>
                <xdr:col>43</xdr:col>
                <xdr:colOff>38100</xdr:colOff>
                <xdr:row>14</xdr:row>
                <xdr:rowOff>361950</xdr:rowOff>
              </to>
            </anchor>
          </controlPr>
        </control>
      </mc:Choice>
      <mc:Fallback>
        <control shapeId="1126" r:id="rId8" name="b61"/>
      </mc:Fallback>
    </mc:AlternateContent>
    <mc:AlternateContent xmlns:mc="http://schemas.openxmlformats.org/markup-compatibility/2006">
      <mc:Choice Requires="x14">
        <control shapeId="1125" r:id="rId10" name="b60">
          <controlPr defaultSize="0" autoLine="0" r:id="rId11">
            <anchor moveWithCells="1">
              <from>
                <xdr:col>41</xdr:col>
                <xdr:colOff>0</xdr:colOff>
                <xdr:row>13</xdr:row>
                <xdr:rowOff>361950</xdr:rowOff>
              </from>
              <to>
                <xdr:col>42</xdr:col>
                <xdr:colOff>28575</xdr:colOff>
                <xdr:row>14</xdr:row>
                <xdr:rowOff>361950</xdr:rowOff>
              </to>
            </anchor>
          </controlPr>
        </control>
      </mc:Choice>
      <mc:Fallback>
        <control shapeId="1125" r:id="rId10" name="b60"/>
      </mc:Fallback>
    </mc:AlternateContent>
    <mc:AlternateContent xmlns:mc="http://schemas.openxmlformats.org/markup-compatibility/2006">
      <mc:Choice Requires="x14">
        <control shapeId="1124" r:id="rId12" name="b59">
          <controlPr defaultSize="0" autoLine="0" r:id="rId13">
            <anchor moveWithCells="1">
              <from>
                <xdr:col>40</xdr:col>
                <xdr:colOff>9525</xdr:colOff>
                <xdr:row>13</xdr:row>
                <xdr:rowOff>361950</xdr:rowOff>
              </from>
              <to>
                <xdr:col>41</xdr:col>
                <xdr:colOff>38100</xdr:colOff>
                <xdr:row>14</xdr:row>
                <xdr:rowOff>361950</xdr:rowOff>
              </to>
            </anchor>
          </controlPr>
        </control>
      </mc:Choice>
      <mc:Fallback>
        <control shapeId="1124" r:id="rId12" name="b59"/>
      </mc:Fallback>
    </mc:AlternateContent>
    <mc:AlternateContent xmlns:mc="http://schemas.openxmlformats.org/markup-compatibility/2006">
      <mc:Choice Requires="x14">
        <control shapeId="1123" r:id="rId14" name="b58">
          <controlPr defaultSize="0" autoLine="0" r:id="rId15">
            <anchor moveWithCells="1">
              <from>
                <xdr:col>39</xdr:col>
                <xdr:colOff>9525</xdr:colOff>
                <xdr:row>13</xdr:row>
                <xdr:rowOff>371475</xdr:rowOff>
              </from>
              <to>
                <xdr:col>40</xdr:col>
                <xdr:colOff>38100</xdr:colOff>
                <xdr:row>14</xdr:row>
                <xdr:rowOff>371475</xdr:rowOff>
              </to>
            </anchor>
          </controlPr>
        </control>
      </mc:Choice>
      <mc:Fallback>
        <control shapeId="1123" r:id="rId14" name="b58"/>
      </mc:Fallback>
    </mc:AlternateContent>
    <mc:AlternateContent xmlns:mc="http://schemas.openxmlformats.org/markup-compatibility/2006">
      <mc:Choice Requires="x14">
        <control shapeId="1122" r:id="rId16" name="b57">
          <controlPr defaultSize="0" autoLine="0" r:id="rId17">
            <anchor moveWithCells="1">
              <from>
                <xdr:col>38</xdr:col>
                <xdr:colOff>19050</xdr:colOff>
                <xdr:row>13</xdr:row>
                <xdr:rowOff>361950</xdr:rowOff>
              </from>
              <to>
                <xdr:col>39</xdr:col>
                <xdr:colOff>38100</xdr:colOff>
                <xdr:row>14</xdr:row>
                <xdr:rowOff>361950</xdr:rowOff>
              </to>
            </anchor>
          </controlPr>
        </control>
      </mc:Choice>
      <mc:Fallback>
        <control shapeId="1122" r:id="rId16" name="b57"/>
      </mc:Fallback>
    </mc:AlternateContent>
    <mc:AlternateContent xmlns:mc="http://schemas.openxmlformats.org/markup-compatibility/2006">
      <mc:Choice Requires="x14">
        <control shapeId="1121" r:id="rId18" name="b56">
          <controlPr defaultSize="0" autoLine="0" autoPict="0" r:id="rId19">
            <anchor moveWithCells="1">
              <from>
                <xdr:col>37</xdr:col>
                <xdr:colOff>0</xdr:colOff>
                <xdr:row>13</xdr:row>
                <xdr:rowOff>371475</xdr:rowOff>
              </from>
              <to>
                <xdr:col>38</xdr:col>
                <xdr:colOff>28575</xdr:colOff>
                <xdr:row>14</xdr:row>
                <xdr:rowOff>371475</xdr:rowOff>
              </to>
            </anchor>
          </controlPr>
        </control>
      </mc:Choice>
      <mc:Fallback>
        <control shapeId="1121" r:id="rId18" name="b56"/>
      </mc:Fallback>
    </mc:AlternateContent>
    <mc:AlternateContent xmlns:mc="http://schemas.openxmlformats.org/markup-compatibility/2006">
      <mc:Choice Requires="x14">
        <control shapeId="1120" r:id="rId20" name="b55">
          <controlPr defaultSize="0" autoLine="0" r:id="rId21">
            <anchor moveWithCells="1">
              <from>
                <xdr:col>44</xdr:col>
                <xdr:colOff>9525</xdr:colOff>
                <xdr:row>13</xdr:row>
                <xdr:rowOff>0</xdr:rowOff>
              </from>
              <to>
                <xdr:col>45</xdr:col>
                <xdr:colOff>38100</xdr:colOff>
                <xdr:row>14</xdr:row>
                <xdr:rowOff>0</xdr:rowOff>
              </to>
            </anchor>
          </controlPr>
        </control>
      </mc:Choice>
      <mc:Fallback>
        <control shapeId="1120" r:id="rId20" name="b55"/>
      </mc:Fallback>
    </mc:AlternateContent>
    <mc:AlternateContent xmlns:mc="http://schemas.openxmlformats.org/markup-compatibility/2006">
      <mc:Choice Requires="x14">
        <control shapeId="1119" r:id="rId22" name="b54">
          <controlPr defaultSize="0" autoLine="0" r:id="rId23">
            <anchor moveWithCells="1">
              <from>
                <xdr:col>43</xdr:col>
                <xdr:colOff>9525</xdr:colOff>
                <xdr:row>13</xdr:row>
                <xdr:rowOff>0</xdr:rowOff>
              </from>
              <to>
                <xdr:col>44</xdr:col>
                <xdr:colOff>38100</xdr:colOff>
                <xdr:row>14</xdr:row>
                <xdr:rowOff>0</xdr:rowOff>
              </to>
            </anchor>
          </controlPr>
        </control>
      </mc:Choice>
      <mc:Fallback>
        <control shapeId="1119" r:id="rId22" name="b54"/>
      </mc:Fallback>
    </mc:AlternateContent>
    <mc:AlternateContent xmlns:mc="http://schemas.openxmlformats.org/markup-compatibility/2006">
      <mc:Choice Requires="x14">
        <control shapeId="1118" r:id="rId24" name="b53">
          <controlPr defaultSize="0" autoLine="0" r:id="rId25">
            <anchor moveWithCells="1">
              <from>
                <xdr:col>42</xdr:col>
                <xdr:colOff>9525</xdr:colOff>
                <xdr:row>13</xdr:row>
                <xdr:rowOff>0</xdr:rowOff>
              </from>
              <to>
                <xdr:col>43</xdr:col>
                <xdr:colOff>38100</xdr:colOff>
                <xdr:row>14</xdr:row>
                <xdr:rowOff>0</xdr:rowOff>
              </to>
            </anchor>
          </controlPr>
        </control>
      </mc:Choice>
      <mc:Fallback>
        <control shapeId="1118" r:id="rId24" name="b53"/>
      </mc:Fallback>
    </mc:AlternateContent>
    <mc:AlternateContent xmlns:mc="http://schemas.openxmlformats.org/markup-compatibility/2006">
      <mc:Choice Requires="x14">
        <control shapeId="1117" r:id="rId26" name="b52">
          <controlPr defaultSize="0" autoLine="0" r:id="rId27">
            <anchor moveWithCells="1">
              <from>
                <xdr:col>41</xdr:col>
                <xdr:colOff>0</xdr:colOff>
                <xdr:row>13</xdr:row>
                <xdr:rowOff>0</xdr:rowOff>
              </from>
              <to>
                <xdr:col>42</xdr:col>
                <xdr:colOff>28575</xdr:colOff>
                <xdr:row>14</xdr:row>
                <xdr:rowOff>0</xdr:rowOff>
              </to>
            </anchor>
          </controlPr>
        </control>
      </mc:Choice>
      <mc:Fallback>
        <control shapeId="1117" r:id="rId26" name="b52"/>
      </mc:Fallback>
    </mc:AlternateContent>
    <mc:AlternateContent xmlns:mc="http://schemas.openxmlformats.org/markup-compatibility/2006">
      <mc:Choice Requires="x14">
        <control shapeId="1116" r:id="rId28" name="b51">
          <controlPr defaultSize="0" autoLine="0" r:id="rId29">
            <anchor moveWithCells="1">
              <from>
                <xdr:col>40</xdr:col>
                <xdr:colOff>9525</xdr:colOff>
                <xdr:row>13</xdr:row>
                <xdr:rowOff>0</xdr:rowOff>
              </from>
              <to>
                <xdr:col>41</xdr:col>
                <xdr:colOff>38100</xdr:colOff>
                <xdr:row>14</xdr:row>
                <xdr:rowOff>0</xdr:rowOff>
              </to>
            </anchor>
          </controlPr>
        </control>
      </mc:Choice>
      <mc:Fallback>
        <control shapeId="1116" r:id="rId28" name="b51"/>
      </mc:Fallback>
    </mc:AlternateContent>
    <mc:AlternateContent xmlns:mc="http://schemas.openxmlformats.org/markup-compatibility/2006">
      <mc:Choice Requires="x14">
        <control shapeId="1115" r:id="rId30" name="b50">
          <controlPr defaultSize="0" autoLine="0" r:id="rId31">
            <anchor moveWithCells="1">
              <from>
                <xdr:col>39</xdr:col>
                <xdr:colOff>9525</xdr:colOff>
                <xdr:row>13</xdr:row>
                <xdr:rowOff>9525</xdr:rowOff>
              </from>
              <to>
                <xdr:col>40</xdr:col>
                <xdr:colOff>38100</xdr:colOff>
                <xdr:row>14</xdr:row>
                <xdr:rowOff>9525</xdr:rowOff>
              </to>
            </anchor>
          </controlPr>
        </control>
      </mc:Choice>
      <mc:Fallback>
        <control shapeId="1115" r:id="rId30" name="b50"/>
      </mc:Fallback>
    </mc:AlternateContent>
    <mc:AlternateContent xmlns:mc="http://schemas.openxmlformats.org/markup-compatibility/2006">
      <mc:Choice Requires="x14">
        <control shapeId="1114" r:id="rId32" name="b49">
          <controlPr defaultSize="0" autoLine="0" r:id="rId33">
            <anchor moveWithCells="1">
              <from>
                <xdr:col>38</xdr:col>
                <xdr:colOff>9525</xdr:colOff>
                <xdr:row>13</xdr:row>
                <xdr:rowOff>0</xdr:rowOff>
              </from>
              <to>
                <xdr:col>39</xdr:col>
                <xdr:colOff>38100</xdr:colOff>
                <xdr:row>14</xdr:row>
                <xdr:rowOff>0</xdr:rowOff>
              </to>
            </anchor>
          </controlPr>
        </control>
      </mc:Choice>
      <mc:Fallback>
        <control shapeId="1114" r:id="rId32" name="b49"/>
      </mc:Fallback>
    </mc:AlternateContent>
    <mc:AlternateContent xmlns:mc="http://schemas.openxmlformats.org/markup-compatibility/2006">
      <mc:Choice Requires="x14">
        <control shapeId="1113" r:id="rId34" name="b48">
          <controlPr defaultSize="0" autoLine="0" autoPict="0" r:id="rId35">
            <anchor moveWithCells="1">
              <from>
                <xdr:col>37</xdr:col>
                <xdr:colOff>0</xdr:colOff>
                <xdr:row>13</xdr:row>
                <xdr:rowOff>9525</xdr:rowOff>
              </from>
              <to>
                <xdr:col>38</xdr:col>
                <xdr:colOff>28575</xdr:colOff>
                <xdr:row>14</xdr:row>
                <xdr:rowOff>9525</xdr:rowOff>
              </to>
            </anchor>
          </controlPr>
        </control>
      </mc:Choice>
      <mc:Fallback>
        <control shapeId="1113" r:id="rId34" name="b48"/>
      </mc:Fallback>
    </mc:AlternateContent>
    <mc:AlternateContent xmlns:mc="http://schemas.openxmlformats.org/markup-compatibility/2006">
      <mc:Choice Requires="x14">
        <control shapeId="1112" r:id="rId36" name="b47">
          <controlPr defaultSize="0" autoLine="0" r:id="rId37">
            <anchor moveWithCells="1">
              <from>
                <xdr:col>44</xdr:col>
                <xdr:colOff>9525</xdr:colOff>
                <xdr:row>12</xdr:row>
                <xdr:rowOff>0</xdr:rowOff>
              </from>
              <to>
                <xdr:col>45</xdr:col>
                <xdr:colOff>38100</xdr:colOff>
                <xdr:row>13</xdr:row>
                <xdr:rowOff>0</xdr:rowOff>
              </to>
            </anchor>
          </controlPr>
        </control>
      </mc:Choice>
      <mc:Fallback>
        <control shapeId="1112" r:id="rId36" name="b47"/>
      </mc:Fallback>
    </mc:AlternateContent>
    <mc:AlternateContent xmlns:mc="http://schemas.openxmlformats.org/markup-compatibility/2006">
      <mc:Choice Requires="x14">
        <control shapeId="1111" r:id="rId38" name="b46">
          <controlPr defaultSize="0" autoLine="0" r:id="rId39">
            <anchor moveWithCells="1">
              <from>
                <xdr:col>43</xdr:col>
                <xdr:colOff>9525</xdr:colOff>
                <xdr:row>12</xdr:row>
                <xdr:rowOff>0</xdr:rowOff>
              </from>
              <to>
                <xdr:col>44</xdr:col>
                <xdr:colOff>38100</xdr:colOff>
                <xdr:row>13</xdr:row>
                <xdr:rowOff>0</xdr:rowOff>
              </to>
            </anchor>
          </controlPr>
        </control>
      </mc:Choice>
      <mc:Fallback>
        <control shapeId="1111" r:id="rId38" name="b46"/>
      </mc:Fallback>
    </mc:AlternateContent>
    <mc:AlternateContent xmlns:mc="http://schemas.openxmlformats.org/markup-compatibility/2006">
      <mc:Choice Requires="x14">
        <control shapeId="1110" r:id="rId40" name="b45">
          <controlPr defaultSize="0" autoLine="0" r:id="rId41">
            <anchor moveWithCells="1">
              <from>
                <xdr:col>42</xdr:col>
                <xdr:colOff>9525</xdr:colOff>
                <xdr:row>12</xdr:row>
                <xdr:rowOff>0</xdr:rowOff>
              </from>
              <to>
                <xdr:col>43</xdr:col>
                <xdr:colOff>38100</xdr:colOff>
                <xdr:row>13</xdr:row>
                <xdr:rowOff>0</xdr:rowOff>
              </to>
            </anchor>
          </controlPr>
        </control>
      </mc:Choice>
      <mc:Fallback>
        <control shapeId="1110" r:id="rId40" name="b45"/>
      </mc:Fallback>
    </mc:AlternateContent>
    <mc:AlternateContent xmlns:mc="http://schemas.openxmlformats.org/markup-compatibility/2006">
      <mc:Choice Requires="x14">
        <control shapeId="1109" r:id="rId42" name="b44">
          <controlPr defaultSize="0" autoLine="0" r:id="rId43">
            <anchor moveWithCells="1">
              <from>
                <xdr:col>41</xdr:col>
                <xdr:colOff>0</xdr:colOff>
                <xdr:row>12</xdr:row>
                <xdr:rowOff>0</xdr:rowOff>
              </from>
              <to>
                <xdr:col>42</xdr:col>
                <xdr:colOff>28575</xdr:colOff>
                <xdr:row>13</xdr:row>
                <xdr:rowOff>0</xdr:rowOff>
              </to>
            </anchor>
          </controlPr>
        </control>
      </mc:Choice>
      <mc:Fallback>
        <control shapeId="1109" r:id="rId42" name="b44"/>
      </mc:Fallback>
    </mc:AlternateContent>
    <mc:AlternateContent xmlns:mc="http://schemas.openxmlformats.org/markup-compatibility/2006">
      <mc:Choice Requires="x14">
        <control shapeId="1108" r:id="rId44" name="b43">
          <controlPr defaultSize="0" autoLine="0" r:id="rId45">
            <anchor moveWithCells="1">
              <from>
                <xdr:col>40</xdr:col>
                <xdr:colOff>9525</xdr:colOff>
                <xdr:row>12</xdr:row>
                <xdr:rowOff>0</xdr:rowOff>
              </from>
              <to>
                <xdr:col>41</xdr:col>
                <xdr:colOff>38100</xdr:colOff>
                <xdr:row>13</xdr:row>
                <xdr:rowOff>0</xdr:rowOff>
              </to>
            </anchor>
          </controlPr>
        </control>
      </mc:Choice>
      <mc:Fallback>
        <control shapeId="1108" r:id="rId44" name="b43"/>
      </mc:Fallback>
    </mc:AlternateContent>
    <mc:AlternateContent xmlns:mc="http://schemas.openxmlformats.org/markup-compatibility/2006">
      <mc:Choice Requires="x14">
        <control shapeId="1107" r:id="rId46" name="b42">
          <controlPr defaultSize="0" autoLine="0" r:id="rId47">
            <anchor moveWithCells="1">
              <from>
                <xdr:col>39</xdr:col>
                <xdr:colOff>9525</xdr:colOff>
                <xdr:row>12</xdr:row>
                <xdr:rowOff>9525</xdr:rowOff>
              </from>
              <to>
                <xdr:col>40</xdr:col>
                <xdr:colOff>38100</xdr:colOff>
                <xdr:row>13</xdr:row>
                <xdr:rowOff>9525</xdr:rowOff>
              </to>
            </anchor>
          </controlPr>
        </control>
      </mc:Choice>
      <mc:Fallback>
        <control shapeId="1107" r:id="rId46" name="b42"/>
      </mc:Fallback>
    </mc:AlternateContent>
    <mc:AlternateContent xmlns:mc="http://schemas.openxmlformats.org/markup-compatibility/2006">
      <mc:Choice Requires="x14">
        <control shapeId="1106" r:id="rId48" name="b41">
          <controlPr defaultSize="0" autoLine="0" r:id="rId49">
            <anchor moveWithCells="1">
              <from>
                <xdr:col>38</xdr:col>
                <xdr:colOff>0</xdr:colOff>
                <xdr:row>12</xdr:row>
                <xdr:rowOff>0</xdr:rowOff>
              </from>
              <to>
                <xdr:col>39</xdr:col>
                <xdr:colOff>28575</xdr:colOff>
                <xdr:row>13</xdr:row>
                <xdr:rowOff>0</xdr:rowOff>
              </to>
            </anchor>
          </controlPr>
        </control>
      </mc:Choice>
      <mc:Fallback>
        <control shapeId="1106" r:id="rId48" name="b41"/>
      </mc:Fallback>
    </mc:AlternateContent>
    <mc:AlternateContent xmlns:mc="http://schemas.openxmlformats.org/markup-compatibility/2006">
      <mc:Choice Requires="x14">
        <control shapeId="1105" r:id="rId50" name="b40">
          <controlPr defaultSize="0" autoLine="0" autoPict="0" r:id="rId51">
            <anchor moveWithCells="1">
              <from>
                <xdr:col>37</xdr:col>
                <xdr:colOff>0</xdr:colOff>
                <xdr:row>12</xdr:row>
                <xdr:rowOff>9525</xdr:rowOff>
              </from>
              <to>
                <xdr:col>38</xdr:col>
                <xdr:colOff>28575</xdr:colOff>
                <xdr:row>13</xdr:row>
                <xdr:rowOff>9525</xdr:rowOff>
              </to>
            </anchor>
          </controlPr>
        </control>
      </mc:Choice>
      <mc:Fallback>
        <control shapeId="1105" r:id="rId50" name="b40"/>
      </mc:Fallback>
    </mc:AlternateContent>
    <mc:AlternateContent xmlns:mc="http://schemas.openxmlformats.org/markup-compatibility/2006">
      <mc:Choice Requires="x14">
        <control shapeId="1104" r:id="rId52" name="b39">
          <controlPr defaultSize="0" autoLine="0" r:id="rId53">
            <anchor moveWithCells="1">
              <from>
                <xdr:col>44</xdr:col>
                <xdr:colOff>9525</xdr:colOff>
                <xdr:row>11</xdr:row>
                <xdr:rowOff>0</xdr:rowOff>
              </from>
              <to>
                <xdr:col>45</xdr:col>
                <xdr:colOff>38100</xdr:colOff>
                <xdr:row>12</xdr:row>
                <xdr:rowOff>0</xdr:rowOff>
              </to>
            </anchor>
          </controlPr>
        </control>
      </mc:Choice>
      <mc:Fallback>
        <control shapeId="1104" r:id="rId52" name="b39"/>
      </mc:Fallback>
    </mc:AlternateContent>
    <mc:AlternateContent xmlns:mc="http://schemas.openxmlformats.org/markup-compatibility/2006">
      <mc:Choice Requires="x14">
        <control shapeId="1103" r:id="rId54" name="b38">
          <controlPr defaultSize="0" autoLine="0" r:id="rId55">
            <anchor moveWithCells="1">
              <from>
                <xdr:col>43</xdr:col>
                <xdr:colOff>9525</xdr:colOff>
                <xdr:row>11</xdr:row>
                <xdr:rowOff>0</xdr:rowOff>
              </from>
              <to>
                <xdr:col>44</xdr:col>
                <xdr:colOff>38100</xdr:colOff>
                <xdr:row>12</xdr:row>
                <xdr:rowOff>0</xdr:rowOff>
              </to>
            </anchor>
          </controlPr>
        </control>
      </mc:Choice>
      <mc:Fallback>
        <control shapeId="1103" r:id="rId54" name="b38"/>
      </mc:Fallback>
    </mc:AlternateContent>
    <mc:AlternateContent xmlns:mc="http://schemas.openxmlformats.org/markup-compatibility/2006">
      <mc:Choice Requires="x14">
        <control shapeId="1102" r:id="rId56" name="b37">
          <controlPr defaultSize="0" autoLine="0" r:id="rId57">
            <anchor moveWithCells="1">
              <from>
                <xdr:col>42</xdr:col>
                <xdr:colOff>9525</xdr:colOff>
                <xdr:row>11</xdr:row>
                <xdr:rowOff>0</xdr:rowOff>
              </from>
              <to>
                <xdr:col>43</xdr:col>
                <xdr:colOff>38100</xdr:colOff>
                <xdr:row>12</xdr:row>
                <xdr:rowOff>0</xdr:rowOff>
              </to>
            </anchor>
          </controlPr>
        </control>
      </mc:Choice>
      <mc:Fallback>
        <control shapeId="1102" r:id="rId56" name="b37"/>
      </mc:Fallback>
    </mc:AlternateContent>
    <mc:AlternateContent xmlns:mc="http://schemas.openxmlformats.org/markup-compatibility/2006">
      <mc:Choice Requires="x14">
        <control shapeId="1101" r:id="rId58" name="b36">
          <controlPr defaultSize="0" autoLine="0" r:id="rId59">
            <anchor moveWithCells="1">
              <from>
                <xdr:col>41</xdr:col>
                <xdr:colOff>0</xdr:colOff>
                <xdr:row>11</xdr:row>
                <xdr:rowOff>0</xdr:rowOff>
              </from>
              <to>
                <xdr:col>42</xdr:col>
                <xdr:colOff>28575</xdr:colOff>
                <xdr:row>12</xdr:row>
                <xdr:rowOff>0</xdr:rowOff>
              </to>
            </anchor>
          </controlPr>
        </control>
      </mc:Choice>
      <mc:Fallback>
        <control shapeId="1101" r:id="rId58" name="b36"/>
      </mc:Fallback>
    </mc:AlternateContent>
    <mc:AlternateContent xmlns:mc="http://schemas.openxmlformats.org/markup-compatibility/2006">
      <mc:Choice Requires="x14">
        <control shapeId="1100" r:id="rId60" name="b35">
          <controlPr defaultSize="0" autoLine="0" r:id="rId61">
            <anchor moveWithCells="1">
              <from>
                <xdr:col>40</xdr:col>
                <xdr:colOff>9525</xdr:colOff>
                <xdr:row>11</xdr:row>
                <xdr:rowOff>0</xdr:rowOff>
              </from>
              <to>
                <xdr:col>41</xdr:col>
                <xdr:colOff>38100</xdr:colOff>
                <xdr:row>12</xdr:row>
                <xdr:rowOff>0</xdr:rowOff>
              </to>
            </anchor>
          </controlPr>
        </control>
      </mc:Choice>
      <mc:Fallback>
        <control shapeId="1100" r:id="rId60" name="b35"/>
      </mc:Fallback>
    </mc:AlternateContent>
    <mc:AlternateContent xmlns:mc="http://schemas.openxmlformats.org/markup-compatibility/2006">
      <mc:Choice Requires="x14">
        <control shapeId="1099" r:id="rId62" name="b34">
          <controlPr defaultSize="0" autoLine="0" r:id="rId63">
            <anchor moveWithCells="1">
              <from>
                <xdr:col>39</xdr:col>
                <xdr:colOff>9525</xdr:colOff>
                <xdr:row>11</xdr:row>
                <xdr:rowOff>0</xdr:rowOff>
              </from>
              <to>
                <xdr:col>40</xdr:col>
                <xdr:colOff>38100</xdr:colOff>
                <xdr:row>12</xdr:row>
                <xdr:rowOff>0</xdr:rowOff>
              </to>
            </anchor>
          </controlPr>
        </control>
      </mc:Choice>
      <mc:Fallback>
        <control shapeId="1099" r:id="rId62" name="b34"/>
      </mc:Fallback>
    </mc:AlternateContent>
    <mc:AlternateContent xmlns:mc="http://schemas.openxmlformats.org/markup-compatibility/2006">
      <mc:Choice Requires="x14">
        <control shapeId="1098" r:id="rId64" name="b33">
          <controlPr defaultSize="0" autoLine="0" r:id="rId65">
            <anchor moveWithCells="1">
              <from>
                <xdr:col>38</xdr:col>
                <xdr:colOff>0</xdr:colOff>
                <xdr:row>11</xdr:row>
                <xdr:rowOff>0</xdr:rowOff>
              </from>
              <to>
                <xdr:col>39</xdr:col>
                <xdr:colOff>28575</xdr:colOff>
                <xdr:row>12</xdr:row>
                <xdr:rowOff>0</xdr:rowOff>
              </to>
            </anchor>
          </controlPr>
        </control>
      </mc:Choice>
      <mc:Fallback>
        <control shapeId="1098" r:id="rId64" name="b33"/>
      </mc:Fallback>
    </mc:AlternateContent>
    <mc:AlternateContent xmlns:mc="http://schemas.openxmlformats.org/markup-compatibility/2006">
      <mc:Choice Requires="x14">
        <control shapeId="1097" r:id="rId66" name="b32">
          <controlPr defaultSize="0" autoLine="0" r:id="rId67">
            <anchor moveWithCells="1">
              <from>
                <xdr:col>37</xdr:col>
                <xdr:colOff>0</xdr:colOff>
                <xdr:row>11</xdr:row>
                <xdr:rowOff>0</xdr:rowOff>
              </from>
              <to>
                <xdr:col>38</xdr:col>
                <xdr:colOff>28575</xdr:colOff>
                <xdr:row>12</xdr:row>
                <xdr:rowOff>0</xdr:rowOff>
              </to>
            </anchor>
          </controlPr>
        </control>
      </mc:Choice>
      <mc:Fallback>
        <control shapeId="1097" r:id="rId66" name="b32"/>
      </mc:Fallback>
    </mc:AlternateContent>
    <mc:AlternateContent xmlns:mc="http://schemas.openxmlformats.org/markup-compatibility/2006">
      <mc:Choice Requires="x14">
        <control shapeId="1096" r:id="rId68" name="b31">
          <controlPr defaultSize="0" autoLine="0" r:id="rId69">
            <anchor moveWithCells="1">
              <from>
                <xdr:col>44</xdr:col>
                <xdr:colOff>9525</xdr:colOff>
                <xdr:row>9</xdr:row>
                <xdr:rowOff>371475</xdr:rowOff>
              </from>
              <to>
                <xdr:col>45</xdr:col>
                <xdr:colOff>38100</xdr:colOff>
                <xdr:row>10</xdr:row>
                <xdr:rowOff>371475</xdr:rowOff>
              </to>
            </anchor>
          </controlPr>
        </control>
      </mc:Choice>
      <mc:Fallback>
        <control shapeId="1096" r:id="rId68" name="b31"/>
      </mc:Fallback>
    </mc:AlternateContent>
    <mc:AlternateContent xmlns:mc="http://schemas.openxmlformats.org/markup-compatibility/2006">
      <mc:Choice Requires="x14">
        <control shapeId="1095" r:id="rId70" name="b30">
          <controlPr defaultSize="0" autoLine="0" r:id="rId71">
            <anchor moveWithCells="1">
              <from>
                <xdr:col>43</xdr:col>
                <xdr:colOff>9525</xdr:colOff>
                <xdr:row>9</xdr:row>
                <xdr:rowOff>371475</xdr:rowOff>
              </from>
              <to>
                <xdr:col>44</xdr:col>
                <xdr:colOff>38100</xdr:colOff>
                <xdr:row>10</xdr:row>
                <xdr:rowOff>371475</xdr:rowOff>
              </to>
            </anchor>
          </controlPr>
        </control>
      </mc:Choice>
      <mc:Fallback>
        <control shapeId="1095" r:id="rId70" name="b30"/>
      </mc:Fallback>
    </mc:AlternateContent>
    <mc:AlternateContent xmlns:mc="http://schemas.openxmlformats.org/markup-compatibility/2006">
      <mc:Choice Requires="x14">
        <control shapeId="1094" r:id="rId72" name="b29">
          <controlPr defaultSize="0" autoLine="0" r:id="rId73">
            <anchor moveWithCells="1">
              <from>
                <xdr:col>42</xdr:col>
                <xdr:colOff>9525</xdr:colOff>
                <xdr:row>9</xdr:row>
                <xdr:rowOff>371475</xdr:rowOff>
              </from>
              <to>
                <xdr:col>43</xdr:col>
                <xdr:colOff>38100</xdr:colOff>
                <xdr:row>10</xdr:row>
                <xdr:rowOff>371475</xdr:rowOff>
              </to>
            </anchor>
          </controlPr>
        </control>
      </mc:Choice>
      <mc:Fallback>
        <control shapeId="1094" r:id="rId72" name="b29"/>
      </mc:Fallback>
    </mc:AlternateContent>
    <mc:AlternateContent xmlns:mc="http://schemas.openxmlformats.org/markup-compatibility/2006">
      <mc:Choice Requires="x14">
        <control shapeId="1093" r:id="rId74" name="b28">
          <controlPr defaultSize="0" autoLine="0" r:id="rId75">
            <anchor moveWithCells="1">
              <from>
                <xdr:col>41</xdr:col>
                <xdr:colOff>0</xdr:colOff>
                <xdr:row>9</xdr:row>
                <xdr:rowOff>371475</xdr:rowOff>
              </from>
              <to>
                <xdr:col>42</xdr:col>
                <xdr:colOff>28575</xdr:colOff>
                <xdr:row>10</xdr:row>
                <xdr:rowOff>371475</xdr:rowOff>
              </to>
            </anchor>
          </controlPr>
        </control>
      </mc:Choice>
      <mc:Fallback>
        <control shapeId="1093" r:id="rId74" name="b28"/>
      </mc:Fallback>
    </mc:AlternateContent>
    <mc:AlternateContent xmlns:mc="http://schemas.openxmlformats.org/markup-compatibility/2006">
      <mc:Choice Requires="x14">
        <control shapeId="1092" r:id="rId76" name="b27">
          <controlPr defaultSize="0" autoLine="0" r:id="rId77">
            <anchor moveWithCells="1">
              <from>
                <xdr:col>40</xdr:col>
                <xdr:colOff>9525</xdr:colOff>
                <xdr:row>9</xdr:row>
                <xdr:rowOff>371475</xdr:rowOff>
              </from>
              <to>
                <xdr:col>41</xdr:col>
                <xdr:colOff>38100</xdr:colOff>
                <xdr:row>10</xdr:row>
                <xdr:rowOff>371475</xdr:rowOff>
              </to>
            </anchor>
          </controlPr>
        </control>
      </mc:Choice>
      <mc:Fallback>
        <control shapeId="1092" r:id="rId76" name="b27"/>
      </mc:Fallback>
    </mc:AlternateContent>
    <mc:AlternateContent xmlns:mc="http://schemas.openxmlformats.org/markup-compatibility/2006">
      <mc:Choice Requires="x14">
        <control shapeId="1091" r:id="rId78" name="b26">
          <controlPr defaultSize="0" autoLine="0" r:id="rId79">
            <anchor moveWithCells="1">
              <from>
                <xdr:col>39</xdr:col>
                <xdr:colOff>9525</xdr:colOff>
                <xdr:row>9</xdr:row>
                <xdr:rowOff>371475</xdr:rowOff>
              </from>
              <to>
                <xdr:col>40</xdr:col>
                <xdr:colOff>38100</xdr:colOff>
                <xdr:row>10</xdr:row>
                <xdr:rowOff>371475</xdr:rowOff>
              </to>
            </anchor>
          </controlPr>
        </control>
      </mc:Choice>
      <mc:Fallback>
        <control shapeId="1091" r:id="rId78" name="b26"/>
      </mc:Fallback>
    </mc:AlternateContent>
    <mc:AlternateContent xmlns:mc="http://schemas.openxmlformats.org/markup-compatibility/2006">
      <mc:Choice Requires="x14">
        <control shapeId="1090" r:id="rId80" name="b25">
          <controlPr defaultSize="0" autoLine="0" r:id="rId81">
            <anchor moveWithCells="1">
              <from>
                <xdr:col>38</xdr:col>
                <xdr:colOff>0</xdr:colOff>
                <xdr:row>9</xdr:row>
                <xdr:rowOff>371475</xdr:rowOff>
              </from>
              <to>
                <xdr:col>39</xdr:col>
                <xdr:colOff>28575</xdr:colOff>
                <xdr:row>10</xdr:row>
                <xdr:rowOff>371475</xdr:rowOff>
              </to>
            </anchor>
          </controlPr>
        </control>
      </mc:Choice>
      <mc:Fallback>
        <control shapeId="1090" r:id="rId80" name="b25"/>
      </mc:Fallback>
    </mc:AlternateContent>
    <mc:AlternateContent xmlns:mc="http://schemas.openxmlformats.org/markup-compatibility/2006">
      <mc:Choice Requires="x14">
        <control shapeId="1089" r:id="rId82" name="b24">
          <controlPr defaultSize="0" autoLine="0" r:id="rId83">
            <anchor moveWithCells="1">
              <from>
                <xdr:col>37</xdr:col>
                <xdr:colOff>0</xdr:colOff>
                <xdr:row>9</xdr:row>
                <xdr:rowOff>371475</xdr:rowOff>
              </from>
              <to>
                <xdr:col>38</xdr:col>
                <xdr:colOff>28575</xdr:colOff>
                <xdr:row>10</xdr:row>
                <xdr:rowOff>371475</xdr:rowOff>
              </to>
            </anchor>
          </controlPr>
        </control>
      </mc:Choice>
      <mc:Fallback>
        <control shapeId="1089" r:id="rId82" name="b24"/>
      </mc:Fallback>
    </mc:AlternateContent>
    <mc:AlternateContent xmlns:mc="http://schemas.openxmlformats.org/markup-compatibility/2006">
      <mc:Choice Requires="x14">
        <control shapeId="1088" r:id="rId84" name="b23">
          <controlPr defaultSize="0" autoLine="0" r:id="rId85">
            <anchor moveWithCells="1">
              <from>
                <xdr:col>44</xdr:col>
                <xdr:colOff>9525</xdr:colOff>
                <xdr:row>9</xdr:row>
                <xdr:rowOff>0</xdr:rowOff>
              </from>
              <to>
                <xdr:col>45</xdr:col>
                <xdr:colOff>38100</xdr:colOff>
                <xdr:row>10</xdr:row>
                <xdr:rowOff>0</xdr:rowOff>
              </to>
            </anchor>
          </controlPr>
        </control>
      </mc:Choice>
      <mc:Fallback>
        <control shapeId="1088" r:id="rId84" name="b23"/>
      </mc:Fallback>
    </mc:AlternateContent>
    <mc:AlternateContent xmlns:mc="http://schemas.openxmlformats.org/markup-compatibility/2006">
      <mc:Choice Requires="x14">
        <control shapeId="1087" r:id="rId86" name="b22">
          <controlPr defaultSize="0" autoLine="0" r:id="rId87">
            <anchor moveWithCells="1">
              <from>
                <xdr:col>43</xdr:col>
                <xdr:colOff>9525</xdr:colOff>
                <xdr:row>9</xdr:row>
                <xdr:rowOff>0</xdr:rowOff>
              </from>
              <to>
                <xdr:col>44</xdr:col>
                <xdr:colOff>38100</xdr:colOff>
                <xdr:row>10</xdr:row>
                <xdr:rowOff>0</xdr:rowOff>
              </to>
            </anchor>
          </controlPr>
        </control>
      </mc:Choice>
      <mc:Fallback>
        <control shapeId="1087" r:id="rId86" name="b22"/>
      </mc:Fallback>
    </mc:AlternateContent>
    <mc:AlternateContent xmlns:mc="http://schemas.openxmlformats.org/markup-compatibility/2006">
      <mc:Choice Requires="x14">
        <control shapeId="1086" r:id="rId88" name="b21">
          <controlPr defaultSize="0" autoLine="0" r:id="rId89">
            <anchor moveWithCells="1">
              <from>
                <xdr:col>42</xdr:col>
                <xdr:colOff>9525</xdr:colOff>
                <xdr:row>9</xdr:row>
                <xdr:rowOff>0</xdr:rowOff>
              </from>
              <to>
                <xdr:col>43</xdr:col>
                <xdr:colOff>38100</xdr:colOff>
                <xdr:row>10</xdr:row>
                <xdr:rowOff>0</xdr:rowOff>
              </to>
            </anchor>
          </controlPr>
        </control>
      </mc:Choice>
      <mc:Fallback>
        <control shapeId="1086" r:id="rId88" name="b21"/>
      </mc:Fallback>
    </mc:AlternateContent>
    <mc:AlternateContent xmlns:mc="http://schemas.openxmlformats.org/markup-compatibility/2006">
      <mc:Choice Requires="x14">
        <control shapeId="1085" r:id="rId90" name="b20">
          <controlPr defaultSize="0" autoLine="0" r:id="rId91">
            <anchor moveWithCells="1">
              <from>
                <xdr:col>41</xdr:col>
                <xdr:colOff>0</xdr:colOff>
                <xdr:row>9</xdr:row>
                <xdr:rowOff>0</xdr:rowOff>
              </from>
              <to>
                <xdr:col>42</xdr:col>
                <xdr:colOff>28575</xdr:colOff>
                <xdr:row>10</xdr:row>
                <xdr:rowOff>0</xdr:rowOff>
              </to>
            </anchor>
          </controlPr>
        </control>
      </mc:Choice>
      <mc:Fallback>
        <control shapeId="1085" r:id="rId90" name="b20"/>
      </mc:Fallback>
    </mc:AlternateContent>
    <mc:AlternateContent xmlns:mc="http://schemas.openxmlformats.org/markup-compatibility/2006">
      <mc:Choice Requires="x14">
        <control shapeId="1084" r:id="rId92" name="b19">
          <controlPr defaultSize="0" autoLine="0" r:id="rId93">
            <anchor moveWithCells="1">
              <from>
                <xdr:col>40</xdr:col>
                <xdr:colOff>9525</xdr:colOff>
                <xdr:row>9</xdr:row>
                <xdr:rowOff>0</xdr:rowOff>
              </from>
              <to>
                <xdr:col>41</xdr:col>
                <xdr:colOff>38100</xdr:colOff>
                <xdr:row>10</xdr:row>
                <xdr:rowOff>0</xdr:rowOff>
              </to>
            </anchor>
          </controlPr>
        </control>
      </mc:Choice>
      <mc:Fallback>
        <control shapeId="1084" r:id="rId92" name="b19"/>
      </mc:Fallback>
    </mc:AlternateContent>
    <mc:AlternateContent xmlns:mc="http://schemas.openxmlformats.org/markup-compatibility/2006">
      <mc:Choice Requires="x14">
        <control shapeId="1083" r:id="rId94" name="b18">
          <controlPr defaultSize="0" autoLine="0" r:id="rId95">
            <anchor moveWithCells="1">
              <from>
                <xdr:col>39</xdr:col>
                <xdr:colOff>9525</xdr:colOff>
                <xdr:row>9</xdr:row>
                <xdr:rowOff>0</xdr:rowOff>
              </from>
              <to>
                <xdr:col>40</xdr:col>
                <xdr:colOff>38100</xdr:colOff>
                <xdr:row>10</xdr:row>
                <xdr:rowOff>0</xdr:rowOff>
              </to>
            </anchor>
          </controlPr>
        </control>
      </mc:Choice>
      <mc:Fallback>
        <control shapeId="1083" r:id="rId94" name="b18"/>
      </mc:Fallback>
    </mc:AlternateContent>
    <mc:AlternateContent xmlns:mc="http://schemas.openxmlformats.org/markup-compatibility/2006">
      <mc:Choice Requires="x14">
        <control shapeId="1082" r:id="rId96" name="b17">
          <controlPr defaultSize="0" autoLine="0" r:id="rId97">
            <anchor moveWithCells="1">
              <from>
                <xdr:col>38</xdr:col>
                <xdr:colOff>0</xdr:colOff>
                <xdr:row>9</xdr:row>
                <xdr:rowOff>0</xdr:rowOff>
              </from>
              <to>
                <xdr:col>39</xdr:col>
                <xdr:colOff>28575</xdr:colOff>
                <xdr:row>10</xdr:row>
                <xdr:rowOff>0</xdr:rowOff>
              </to>
            </anchor>
          </controlPr>
        </control>
      </mc:Choice>
      <mc:Fallback>
        <control shapeId="1082" r:id="rId96" name="b17"/>
      </mc:Fallback>
    </mc:AlternateContent>
    <mc:AlternateContent xmlns:mc="http://schemas.openxmlformats.org/markup-compatibility/2006">
      <mc:Choice Requires="x14">
        <control shapeId="1081" r:id="rId98" name="b16">
          <controlPr defaultSize="0" autoLine="0" r:id="rId99">
            <anchor moveWithCells="1">
              <from>
                <xdr:col>37</xdr:col>
                <xdr:colOff>0</xdr:colOff>
                <xdr:row>9</xdr:row>
                <xdr:rowOff>0</xdr:rowOff>
              </from>
              <to>
                <xdr:col>38</xdr:col>
                <xdr:colOff>28575</xdr:colOff>
                <xdr:row>10</xdr:row>
                <xdr:rowOff>0</xdr:rowOff>
              </to>
            </anchor>
          </controlPr>
        </control>
      </mc:Choice>
      <mc:Fallback>
        <control shapeId="1081" r:id="rId98" name="b16"/>
      </mc:Fallback>
    </mc:AlternateContent>
    <mc:AlternateContent xmlns:mc="http://schemas.openxmlformats.org/markup-compatibility/2006">
      <mc:Choice Requires="x14">
        <control shapeId="1080" r:id="rId100" name="b15">
          <controlPr defaultSize="0" autoLine="0" r:id="rId101">
            <anchor moveWithCells="1">
              <from>
                <xdr:col>44</xdr:col>
                <xdr:colOff>9525</xdr:colOff>
                <xdr:row>8</xdr:row>
                <xdr:rowOff>9525</xdr:rowOff>
              </from>
              <to>
                <xdr:col>45</xdr:col>
                <xdr:colOff>38100</xdr:colOff>
                <xdr:row>9</xdr:row>
                <xdr:rowOff>9525</xdr:rowOff>
              </to>
            </anchor>
          </controlPr>
        </control>
      </mc:Choice>
      <mc:Fallback>
        <control shapeId="1080" r:id="rId100" name="b15"/>
      </mc:Fallback>
    </mc:AlternateContent>
    <mc:AlternateContent xmlns:mc="http://schemas.openxmlformats.org/markup-compatibility/2006">
      <mc:Choice Requires="x14">
        <control shapeId="1079" r:id="rId102" name="b14">
          <controlPr defaultSize="0" autoLine="0" r:id="rId103">
            <anchor moveWithCells="1">
              <from>
                <xdr:col>43</xdr:col>
                <xdr:colOff>9525</xdr:colOff>
                <xdr:row>8</xdr:row>
                <xdr:rowOff>9525</xdr:rowOff>
              </from>
              <to>
                <xdr:col>44</xdr:col>
                <xdr:colOff>38100</xdr:colOff>
                <xdr:row>9</xdr:row>
                <xdr:rowOff>9525</xdr:rowOff>
              </to>
            </anchor>
          </controlPr>
        </control>
      </mc:Choice>
      <mc:Fallback>
        <control shapeId="1079" r:id="rId102" name="b14"/>
      </mc:Fallback>
    </mc:AlternateContent>
    <mc:AlternateContent xmlns:mc="http://schemas.openxmlformats.org/markup-compatibility/2006">
      <mc:Choice Requires="x14">
        <control shapeId="1078" r:id="rId104" name="b13">
          <controlPr defaultSize="0" autoLine="0" r:id="rId105">
            <anchor moveWithCells="1">
              <from>
                <xdr:col>42</xdr:col>
                <xdr:colOff>9525</xdr:colOff>
                <xdr:row>8</xdr:row>
                <xdr:rowOff>9525</xdr:rowOff>
              </from>
              <to>
                <xdr:col>43</xdr:col>
                <xdr:colOff>38100</xdr:colOff>
                <xdr:row>9</xdr:row>
                <xdr:rowOff>9525</xdr:rowOff>
              </to>
            </anchor>
          </controlPr>
        </control>
      </mc:Choice>
      <mc:Fallback>
        <control shapeId="1078" r:id="rId104" name="b13"/>
      </mc:Fallback>
    </mc:AlternateContent>
    <mc:AlternateContent xmlns:mc="http://schemas.openxmlformats.org/markup-compatibility/2006">
      <mc:Choice Requires="x14">
        <control shapeId="1077" r:id="rId106" name="b12">
          <controlPr defaultSize="0" autoLine="0" r:id="rId107">
            <anchor moveWithCells="1">
              <from>
                <xdr:col>41</xdr:col>
                <xdr:colOff>0</xdr:colOff>
                <xdr:row>8</xdr:row>
                <xdr:rowOff>9525</xdr:rowOff>
              </from>
              <to>
                <xdr:col>42</xdr:col>
                <xdr:colOff>28575</xdr:colOff>
                <xdr:row>9</xdr:row>
                <xdr:rowOff>9525</xdr:rowOff>
              </to>
            </anchor>
          </controlPr>
        </control>
      </mc:Choice>
      <mc:Fallback>
        <control shapeId="1077" r:id="rId106" name="b12"/>
      </mc:Fallback>
    </mc:AlternateContent>
    <mc:AlternateContent xmlns:mc="http://schemas.openxmlformats.org/markup-compatibility/2006">
      <mc:Choice Requires="x14">
        <control shapeId="1076" r:id="rId108" name="b11">
          <controlPr defaultSize="0" autoLine="0" r:id="rId109">
            <anchor moveWithCells="1">
              <from>
                <xdr:col>40</xdr:col>
                <xdr:colOff>9525</xdr:colOff>
                <xdr:row>8</xdr:row>
                <xdr:rowOff>9525</xdr:rowOff>
              </from>
              <to>
                <xdr:col>41</xdr:col>
                <xdr:colOff>38100</xdr:colOff>
                <xdr:row>9</xdr:row>
                <xdr:rowOff>9525</xdr:rowOff>
              </to>
            </anchor>
          </controlPr>
        </control>
      </mc:Choice>
      <mc:Fallback>
        <control shapeId="1076" r:id="rId108" name="b11"/>
      </mc:Fallback>
    </mc:AlternateContent>
    <mc:AlternateContent xmlns:mc="http://schemas.openxmlformats.org/markup-compatibility/2006">
      <mc:Choice Requires="x14">
        <control shapeId="1075" r:id="rId110" name="b10">
          <controlPr defaultSize="0" autoLine="0" r:id="rId111">
            <anchor moveWithCells="1">
              <from>
                <xdr:col>39</xdr:col>
                <xdr:colOff>9525</xdr:colOff>
                <xdr:row>8</xdr:row>
                <xdr:rowOff>9525</xdr:rowOff>
              </from>
              <to>
                <xdr:col>40</xdr:col>
                <xdr:colOff>38100</xdr:colOff>
                <xdr:row>9</xdr:row>
                <xdr:rowOff>9525</xdr:rowOff>
              </to>
            </anchor>
          </controlPr>
        </control>
      </mc:Choice>
      <mc:Fallback>
        <control shapeId="1075" r:id="rId110" name="b10"/>
      </mc:Fallback>
    </mc:AlternateContent>
    <mc:AlternateContent xmlns:mc="http://schemas.openxmlformats.org/markup-compatibility/2006">
      <mc:Choice Requires="x14">
        <control shapeId="1074" r:id="rId112" name="b9">
          <controlPr defaultSize="0" autoLine="0" r:id="rId113">
            <anchor moveWithCells="1">
              <from>
                <xdr:col>38</xdr:col>
                <xdr:colOff>0</xdr:colOff>
                <xdr:row>8</xdr:row>
                <xdr:rowOff>9525</xdr:rowOff>
              </from>
              <to>
                <xdr:col>39</xdr:col>
                <xdr:colOff>28575</xdr:colOff>
                <xdr:row>9</xdr:row>
                <xdr:rowOff>9525</xdr:rowOff>
              </to>
            </anchor>
          </controlPr>
        </control>
      </mc:Choice>
      <mc:Fallback>
        <control shapeId="1074" r:id="rId112" name="b9"/>
      </mc:Fallback>
    </mc:AlternateContent>
    <mc:AlternateContent xmlns:mc="http://schemas.openxmlformats.org/markup-compatibility/2006">
      <mc:Choice Requires="x14">
        <control shapeId="1073" r:id="rId114" name="b8">
          <controlPr defaultSize="0" autoLine="0" r:id="rId115">
            <anchor moveWithCells="1">
              <from>
                <xdr:col>37</xdr:col>
                <xdr:colOff>0</xdr:colOff>
                <xdr:row>8</xdr:row>
                <xdr:rowOff>9525</xdr:rowOff>
              </from>
              <to>
                <xdr:col>38</xdr:col>
                <xdr:colOff>28575</xdr:colOff>
                <xdr:row>9</xdr:row>
                <xdr:rowOff>9525</xdr:rowOff>
              </to>
            </anchor>
          </controlPr>
        </control>
      </mc:Choice>
      <mc:Fallback>
        <control shapeId="1073" r:id="rId114" name="b8"/>
      </mc:Fallback>
    </mc:AlternateContent>
    <mc:AlternateContent xmlns:mc="http://schemas.openxmlformats.org/markup-compatibility/2006">
      <mc:Choice Requires="x14">
        <control shapeId="1072" r:id="rId116" name="b7">
          <controlPr defaultSize="0" autoLine="0" r:id="rId117">
            <anchor moveWithCells="1">
              <from>
                <xdr:col>44</xdr:col>
                <xdr:colOff>9525</xdr:colOff>
                <xdr:row>7</xdr:row>
                <xdr:rowOff>19050</xdr:rowOff>
              </from>
              <to>
                <xdr:col>45</xdr:col>
                <xdr:colOff>38100</xdr:colOff>
                <xdr:row>8</xdr:row>
                <xdr:rowOff>19050</xdr:rowOff>
              </to>
            </anchor>
          </controlPr>
        </control>
      </mc:Choice>
      <mc:Fallback>
        <control shapeId="1072" r:id="rId116" name="b7"/>
      </mc:Fallback>
    </mc:AlternateContent>
    <mc:AlternateContent xmlns:mc="http://schemas.openxmlformats.org/markup-compatibility/2006">
      <mc:Choice Requires="x14">
        <control shapeId="1071" r:id="rId118" name="b6">
          <controlPr defaultSize="0" autoLine="0" r:id="rId119">
            <anchor moveWithCells="1">
              <from>
                <xdr:col>43</xdr:col>
                <xdr:colOff>9525</xdr:colOff>
                <xdr:row>7</xdr:row>
                <xdr:rowOff>19050</xdr:rowOff>
              </from>
              <to>
                <xdr:col>44</xdr:col>
                <xdr:colOff>38100</xdr:colOff>
                <xdr:row>8</xdr:row>
                <xdr:rowOff>19050</xdr:rowOff>
              </to>
            </anchor>
          </controlPr>
        </control>
      </mc:Choice>
      <mc:Fallback>
        <control shapeId="1071" r:id="rId118" name="b6"/>
      </mc:Fallback>
    </mc:AlternateContent>
    <mc:AlternateContent xmlns:mc="http://schemas.openxmlformats.org/markup-compatibility/2006">
      <mc:Choice Requires="x14">
        <control shapeId="1070" r:id="rId120" name="b5">
          <controlPr defaultSize="0" autoLine="0" r:id="rId121">
            <anchor moveWithCells="1">
              <from>
                <xdr:col>42</xdr:col>
                <xdr:colOff>9525</xdr:colOff>
                <xdr:row>7</xdr:row>
                <xdr:rowOff>19050</xdr:rowOff>
              </from>
              <to>
                <xdr:col>43</xdr:col>
                <xdr:colOff>38100</xdr:colOff>
                <xdr:row>8</xdr:row>
                <xdr:rowOff>19050</xdr:rowOff>
              </to>
            </anchor>
          </controlPr>
        </control>
      </mc:Choice>
      <mc:Fallback>
        <control shapeId="1070" r:id="rId120" name="b5"/>
      </mc:Fallback>
    </mc:AlternateContent>
    <mc:AlternateContent xmlns:mc="http://schemas.openxmlformats.org/markup-compatibility/2006">
      <mc:Choice Requires="x14">
        <control shapeId="1069" r:id="rId122" name="b4">
          <controlPr defaultSize="0" autoLine="0" autoPict="0" r:id="rId123">
            <anchor moveWithCells="1">
              <from>
                <xdr:col>40</xdr:col>
                <xdr:colOff>609600</xdr:colOff>
                <xdr:row>7</xdr:row>
                <xdr:rowOff>19050</xdr:rowOff>
              </from>
              <to>
                <xdr:col>42</xdr:col>
                <xdr:colOff>28575</xdr:colOff>
                <xdr:row>8</xdr:row>
                <xdr:rowOff>19050</xdr:rowOff>
              </to>
            </anchor>
          </controlPr>
        </control>
      </mc:Choice>
      <mc:Fallback>
        <control shapeId="1069" r:id="rId122" name="b4"/>
      </mc:Fallback>
    </mc:AlternateContent>
    <mc:AlternateContent xmlns:mc="http://schemas.openxmlformats.org/markup-compatibility/2006">
      <mc:Choice Requires="x14">
        <control shapeId="1068" r:id="rId124" name="b3">
          <controlPr defaultSize="0" autoLine="0" r:id="rId125">
            <anchor moveWithCells="1">
              <from>
                <xdr:col>40</xdr:col>
                <xdr:colOff>9525</xdr:colOff>
                <xdr:row>7</xdr:row>
                <xdr:rowOff>19050</xdr:rowOff>
              </from>
              <to>
                <xdr:col>41</xdr:col>
                <xdr:colOff>28575</xdr:colOff>
                <xdr:row>8</xdr:row>
                <xdr:rowOff>19050</xdr:rowOff>
              </to>
            </anchor>
          </controlPr>
        </control>
      </mc:Choice>
      <mc:Fallback>
        <control shapeId="1068" r:id="rId124" name="b3"/>
      </mc:Fallback>
    </mc:AlternateContent>
    <mc:AlternateContent xmlns:mc="http://schemas.openxmlformats.org/markup-compatibility/2006">
      <mc:Choice Requires="x14">
        <control shapeId="1067" r:id="rId126" name="b2">
          <controlPr defaultSize="0" autoLine="0" r:id="rId127">
            <anchor moveWithCells="1">
              <from>
                <xdr:col>39</xdr:col>
                <xdr:colOff>9525</xdr:colOff>
                <xdr:row>7</xdr:row>
                <xdr:rowOff>9525</xdr:rowOff>
              </from>
              <to>
                <xdr:col>40</xdr:col>
                <xdr:colOff>28575</xdr:colOff>
                <xdr:row>8</xdr:row>
                <xdr:rowOff>9525</xdr:rowOff>
              </to>
            </anchor>
          </controlPr>
        </control>
      </mc:Choice>
      <mc:Fallback>
        <control shapeId="1067" r:id="rId126" name="b2"/>
      </mc:Fallback>
    </mc:AlternateContent>
    <mc:AlternateContent xmlns:mc="http://schemas.openxmlformats.org/markup-compatibility/2006">
      <mc:Choice Requires="x14">
        <control shapeId="1066" r:id="rId128" name="b1">
          <controlPr defaultSize="0" autoLine="0" autoPict="0" r:id="rId129">
            <anchor moveWithCells="1">
              <from>
                <xdr:col>37</xdr:col>
                <xdr:colOff>609600</xdr:colOff>
                <xdr:row>7</xdr:row>
                <xdr:rowOff>19050</xdr:rowOff>
              </from>
              <to>
                <xdr:col>39</xdr:col>
                <xdr:colOff>28575</xdr:colOff>
                <xdr:row>8</xdr:row>
                <xdr:rowOff>19050</xdr:rowOff>
              </to>
            </anchor>
          </controlPr>
        </control>
      </mc:Choice>
      <mc:Fallback>
        <control shapeId="1066" r:id="rId128" name="b1"/>
      </mc:Fallback>
    </mc:AlternateContent>
    <mc:AlternateContent xmlns:mc="http://schemas.openxmlformats.org/markup-compatibility/2006">
      <mc:Choice Requires="x14">
        <control shapeId="1065" r:id="rId130" name="b0">
          <controlPr defaultSize="0" autoLine="0" r:id="rId131">
            <anchor moveWithCells="1">
              <from>
                <xdr:col>37</xdr:col>
                <xdr:colOff>0</xdr:colOff>
                <xdr:row>7</xdr:row>
                <xdr:rowOff>9525</xdr:rowOff>
              </from>
              <to>
                <xdr:col>38</xdr:col>
                <xdr:colOff>28575</xdr:colOff>
                <xdr:row>8</xdr:row>
                <xdr:rowOff>9525</xdr:rowOff>
              </to>
            </anchor>
          </controlPr>
        </control>
      </mc:Choice>
      <mc:Fallback>
        <control shapeId="1065" r:id="rId130" name="b0"/>
      </mc:Fallback>
    </mc:AlternateContent>
    <mc:AlternateContent xmlns:mc="http://schemas.openxmlformats.org/markup-compatibility/2006">
      <mc:Choice Requires="x14">
        <control shapeId="1056" r:id="rId132" name="PIN8">
          <controlPr defaultSize="0" autoLine="0" r:id="rId133">
            <anchor moveWithCells="1">
              <from>
                <xdr:col>20</xdr:col>
                <xdr:colOff>9525</xdr:colOff>
                <xdr:row>18</xdr:row>
                <xdr:rowOff>0</xdr:rowOff>
              </from>
              <to>
                <xdr:col>21</xdr:col>
                <xdr:colOff>0</xdr:colOff>
                <xdr:row>18</xdr:row>
                <xdr:rowOff>371475</xdr:rowOff>
              </to>
            </anchor>
          </controlPr>
        </control>
      </mc:Choice>
      <mc:Fallback>
        <control shapeId="1056" r:id="rId132" name="PIN8"/>
      </mc:Fallback>
    </mc:AlternateContent>
    <mc:AlternateContent xmlns:mc="http://schemas.openxmlformats.org/markup-compatibility/2006">
      <mc:Choice Requires="x14">
        <control shapeId="1055" r:id="rId134" name="PIN7">
          <controlPr defaultSize="0" autoLine="0" r:id="rId135">
            <anchor moveWithCells="1">
              <from>
                <xdr:col>19</xdr:col>
                <xdr:colOff>28575</xdr:colOff>
                <xdr:row>18</xdr:row>
                <xdr:rowOff>0</xdr:rowOff>
              </from>
              <to>
                <xdr:col>20</xdr:col>
                <xdr:colOff>19050</xdr:colOff>
                <xdr:row>18</xdr:row>
                <xdr:rowOff>371475</xdr:rowOff>
              </to>
            </anchor>
          </controlPr>
        </control>
      </mc:Choice>
      <mc:Fallback>
        <control shapeId="1055" r:id="rId134" name="PIN7"/>
      </mc:Fallback>
    </mc:AlternateContent>
    <mc:AlternateContent xmlns:mc="http://schemas.openxmlformats.org/markup-compatibility/2006">
      <mc:Choice Requires="x14">
        <control shapeId="1054" r:id="rId136" name="PIN6">
          <controlPr defaultSize="0" autoLine="0" r:id="rId137">
            <anchor moveWithCells="1">
              <from>
                <xdr:col>18</xdr:col>
                <xdr:colOff>19050</xdr:colOff>
                <xdr:row>18</xdr:row>
                <xdr:rowOff>0</xdr:rowOff>
              </from>
              <to>
                <xdr:col>19</xdr:col>
                <xdr:colOff>9525</xdr:colOff>
                <xdr:row>18</xdr:row>
                <xdr:rowOff>371475</xdr:rowOff>
              </to>
            </anchor>
          </controlPr>
        </control>
      </mc:Choice>
      <mc:Fallback>
        <control shapeId="1054" r:id="rId136" name="PIN6"/>
      </mc:Fallback>
    </mc:AlternateContent>
    <mc:AlternateContent xmlns:mc="http://schemas.openxmlformats.org/markup-compatibility/2006">
      <mc:Choice Requires="x14">
        <control shapeId="1053" r:id="rId138" name="PIN5">
          <controlPr defaultSize="0" autoLine="0" r:id="rId139">
            <anchor moveWithCells="1">
              <from>
                <xdr:col>17</xdr:col>
                <xdr:colOff>38100</xdr:colOff>
                <xdr:row>18</xdr:row>
                <xdr:rowOff>0</xdr:rowOff>
              </from>
              <to>
                <xdr:col>18</xdr:col>
                <xdr:colOff>28575</xdr:colOff>
                <xdr:row>18</xdr:row>
                <xdr:rowOff>371475</xdr:rowOff>
              </to>
            </anchor>
          </controlPr>
        </control>
      </mc:Choice>
      <mc:Fallback>
        <control shapeId="1053" r:id="rId138" name="PIN5"/>
      </mc:Fallback>
    </mc:AlternateContent>
    <mc:AlternateContent xmlns:mc="http://schemas.openxmlformats.org/markup-compatibility/2006">
      <mc:Choice Requires="x14">
        <control shapeId="1052" r:id="rId140" name="PIN4">
          <controlPr defaultSize="0" autoLine="0" r:id="rId141">
            <anchor moveWithCells="1">
              <from>
                <xdr:col>16</xdr:col>
                <xdr:colOff>0</xdr:colOff>
                <xdr:row>18</xdr:row>
                <xdr:rowOff>0</xdr:rowOff>
              </from>
              <to>
                <xdr:col>16</xdr:col>
                <xdr:colOff>600075</xdr:colOff>
                <xdr:row>18</xdr:row>
                <xdr:rowOff>371475</xdr:rowOff>
              </to>
            </anchor>
          </controlPr>
        </control>
      </mc:Choice>
      <mc:Fallback>
        <control shapeId="1052" r:id="rId140" name="PIN4"/>
      </mc:Fallback>
    </mc:AlternateContent>
    <mc:AlternateContent xmlns:mc="http://schemas.openxmlformats.org/markup-compatibility/2006">
      <mc:Choice Requires="x14">
        <control shapeId="1051" r:id="rId142" name="PIN3">
          <controlPr defaultSize="0" autoLine="0" r:id="rId143">
            <anchor moveWithCells="1">
              <from>
                <xdr:col>15</xdr:col>
                <xdr:colOff>19050</xdr:colOff>
                <xdr:row>18</xdr:row>
                <xdr:rowOff>0</xdr:rowOff>
              </from>
              <to>
                <xdr:col>16</xdr:col>
                <xdr:colOff>9525</xdr:colOff>
                <xdr:row>18</xdr:row>
                <xdr:rowOff>371475</xdr:rowOff>
              </to>
            </anchor>
          </controlPr>
        </control>
      </mc:Choice>
      <mc:Fallback>
        <control shapeId="1051" r:id="rId142" name="PIN3"/>
      </mc:Fallback>
    </mc:AlternateContent>
    <mc:AlternateContent xmlns:mc="http://schemas.openxmlformats.org/markup-compatibility/2006">
      <mc:Choice Requires="x14">
        <control shapeId="1050" r:id="rId144" name="PIN2">
          <controlPr defaultSize="0" autoLine="0" r:id="rId145">
            <anchor moveWithCells="1">
              <from>
                <xdr:col>14</xdr:col>
                <xdr:colOff>9525</xdr:colOff>
                <xdr:row>18</xdr:row>
                <xdr:rowOff>0</xdr:rowOff>
              </from>
              <to>
                <xdr:col>15</xdr:col>
                <xdr:colOff>0</xdr:colOff>
                <xdr:row>18</xdr:row>
                <xdr:rowOff>371475</xdr:rowOff>
              </to>
            </anchor>
          </controlPr>
        </control>
      </mc:Choice>
      <mc:Fallback>
        <control shapeId="1050" r:id="rId144" name="PIN2"/>
      </mc:Fallback>
    </mc:AlternateContent>
    <mc:AlternateContent xmlns:mc="http://schemas.openxmlformats.org/markup-compatibility/2006">
      <mc:Choice Requires="x14">
        <control shapeId="1049" r:id="rId146" name="PIN1">
          <controlPr defaultSize="0" autoLine="0" r:id="rId147">
            <anchor moveWithCells="1">
              <from>
                <xdr:col>13</xdr:col>
                <xdr:colOff>28575</xdr:colOff>
                <xdr:row>18</xdr:row>
                <xdr:rowOff>0</xdr:rowOff>
              </from>
              <to>
                <xdr:col>14</xdr:col>
                <xdr:colOff>19050</xdr:colOff>
                <xdr:row>18</xdr:row>
                <xdr:rowOff>371475</xdr:rowOff>
              </to>
            </anchor>
          </controlPr>
        </control>
      </mc:Choice>
      <mc:Fallback>
        <control shapeId="1049" r:id="rId146" name="PIN1"/>
      </mc:Fallback>
    </mc:AlternateContent>
    <mc:AlternateContent xmlns:mc="http://schemas.openxmlformats.org/markup-compatibility/2006">
      <mc:Choice Requires="x14">
        <control shapeId="1048" r:id="rId148" name="PIN9">
          <controlPr defaultSize="0" autoLine="0" r:id="rId149">
            <anchor moveWithCells="1">
              <from>
                <xdr:col>20</xdr:col>
                <xdr:colOff>0</xdr:colOff>
                <xdr:row>15</xdr:row>
                <xdr:rowOff>9525</xdr:rowOff>
              </from>
              <to>
                <xdr:col>20</xdr:col>
                <xdr:colOff>600075</xdr:colOff>
                <xdr:row>16</xdr:row>
                <xdr:rowOff>0</xdr:rowOff>
              </to>
            </anchor>
          </controlPr>
        </control>
      </mc:Choice>
      <mc:Fallback>
        <control shapeId="1048" r:id="rId148" name="PIN9"/>
      </mc:Fallback>
    </mc:AlternateContent>
    <mc:AlternateContent xmlns:mc="http://schemas.openxmlformats.org/markup-compatibility/2006">
      <mc:Choice Requires="x14">
        <control shapeId="1047" r:id="rId150" name="PIN10">
          <controlPr defaultSize="0" autoLine="0" r:id="rId151">
            <anchor moveWithCells="1">
              <from>
                <xdr:col>19</xdr:col>
                <xdr:colOff>19050</xdr:colOff>
                <xdr:row>15</xdr:row>
                <xdr:rowOff>9525</xdr:rowOff>
              </from>
              <to>
                <xdr:col>20</xdr:col>
                <xdr:colOff>9525</xdr:colOff>
                <xdr:row>16</xdr:row>
                <xdr:rowOff>0</xdr:rowOff>
              </to>
            </anchor>
          </controlPr>
        </control>
      </mc:Choice>
      <mc:Fallback>
        <control shapeId="1047" r:id="rId150" name="PIN10"/>
      </mc:Fallback>
    </mc:AlternateContent>
    <mc:AlternateContent xmlns:mc="http://schemas.openxmlformats.org/markup-compatibility/2006">
      <mc:Choice Requires="x14">
        <control shapeId="1046" r:id="rId152" name="PIN11">
          <controlPr defaultSize="0" autoLine="0" r:id="rId153">
            <anchor moveWithCells="1">
              <from>
                <xdr:col>18</xdr:col>
                <xdr:colOff>9525</xdr:colOff>
                <xdr:row>15</xdr:row>
                <xdr:rowOff>9525</xdr:rowOff>
              </from>
              <to>
                <xdr:col>19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046" r:id="rId152" name="PIN11"/>
      </mc:Fallback>
    </mc:AlternateContent>
    <mc:AlternateContent xmlns:mc="http://schemas.openxmlformats.org/markup-compatibility/2006">
      <mc:Choice Requires="x14">
        <control shapeId="1045" r:id="rId154" name="PIN12">
          <controlPr defaultSize="0" autoLine="0" r:id="rId155">
            <anchor moveWithCells="1">
              <from>
                <xdr:col>17</xdr:col>
                <xdr:colOff>28575</xdr:colOff>
                <xdr:row>15</xdr:row>
                <xdr:rowOff>9525</xdr:rowOff>
              </from>
              <to>
                <xdr:col>18</xdr:col>
                <xdr:colOff>19050</xdr:colOff>
                <xdr:row>16</xdr:row>
                <xdr:rowOff>0</xdr:rowOff>
              </to>
            </anchor>
          </controlPr>
        </control>
      </mc:Choice>
      <mc:Fallback>
        <control shapeId="1045" r:id="rId154" name="PIN12"/>
      </mc:Fallback>
    </mc:AlternateContent>
    <mc:AlternateContent xmlns:mc="http://schemas.openxmlformats.org/markup-compatibility/2006">
      <mc:Choice Requires="x14">
        <control shapeId="1044" r:id="rId156" name="PIN13">
          <controlPr defaultSize="0" autoLine="0" r:id="rId157">
            <anchor moveWithCells="1">
              <from>
                <xdr:col>15</xdr:col>
                <xdr:colOff>600075</xdr:colOff>
                <xdr:row>15</xdr:row>
                <xdr:rowOff>9525</xdr:rowOff>
              </from>
              <to>
                <xdr:col>16</xdr:col>
                <xdr:colOff>590550</xdr:colOff>
                <xdr:row>16</xdr:row>
                <xdr:rowOff>0</xdr:rowOff>
              </to>
            </anchor>
          </controlPr>
        </control>
      </mc:Choice>
      <mc:Fallback>
        <control shapeId="1044" r:id="rId156" name="PIN13"/>
      </mc:Fallback>
    </mc:AlternateContent>
    <mc:AlternateContent xmlns:mc="http://schemas.openxmlformats.org/markup-compatibility/2006">
      <mc:Choice Requires="x14">
        <control shapeId="1043" r:id="rId158" name="PIN14">
          <controlPr defaultSize="0" autoLine="0" r:id="rId159">
            <anchor moveWithCells="1">
              <from>
                <xdr:col>15</xdr:col>
                <xdr:colOff>9525</xdr:colOff>
                <xdr:row>15</xdr:row>
                <xdr:rowOff>9525</xdr:rowOff>
              </from>
              <to>
                <xdr:col>16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043" r:id="rId158" name="PIN14"/>
      </mc:Fallback>
    </mc:AlternateContent>
    <mc:AlternateContent xmlns:mc="http://schemas.openxmlformats.org/markup-compatibility/2006">
      <mc:Choice Requires="x14">
        <control shapeId="1042" r:id="rId160" name="PIN15">
          <controlPr defaultSize="0" autoLine="0" r:id="rId161">
            <anchor moveWithCells="1">
              <from>
                <xdr:col>14</xdr:col>
                <xdr:colOff>0</xdr:colOff>
                <xdr:row>15</xdr:row>
                <xdr:rowOff>9525</xdr:rowOff>
              </from>
              <to>
                <xdr:col>14</xdr:col>
                <xdr:colOff>600075</xdr:colOff>
                <xdr:row>16</xdr:row>
                <xdr:rowOff>0</xdr:rowOff>
              </to>
            </anchor>
          </controlPr>
        </control>
      </mc:Choice>
      <mc:Fallback>
        <control shapeId="1042" r:id="rId160" name="PIN15"/>
      </mc:Fallback>
    </mc:AlternateContent>
    <mc:AlternateContent xmlns:mc="http://schemas.openxmlformats.org/markup-compatibility/2006">
      <mc:Choice Requires="x14">
        <control shapeId="1041" r:id="rId162" name="PIN16">
          <controlPr defaultSize="0" autoLine="0" r:id="rId163">
            <anchor moveWithCells="1">
              <from>
                <xdr:col>13</xdr:col>
                <xdr:colOff>19050</xdr:colOff>
                <xdr:row>15</xdr:row>
                <xdr:rowOff>9525</xdr:rowOff>
              </from>
              <to>
                <xdr:col>14</xdr:col>
                <xdr:colOff>9525</xdr:colOff>
                <xdr:row>16</xdr:row>
                <xdr:rowOff>0</xdr:rowOff>
              </to>
            </anchor>
          </controlPr>
        </control>
      </mc:Choice>
      <mc:Fallback>
        <control shapeId="1041" r:id="rId162" name="PIN16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evanpthompson</dc:creator>
  <cp:lastModifiedBy>evanpthompson</cp:lastModifiedBy>
  <dcterms:created xsi:type="dcterms:W3CDTF">2016-12-28T21:32:21Z</dcterms:created>
  <dcterms:modified xsi:type="dcterms:W3CDTF">2017-01-04T20:11:53Z</dcterms:modified>
</cp:coreProperties>
</file>